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매장 매출" sheetId="2" state="visible" r:id="rId4"/>
    <sheet name="대회사 매출" sheetId="3" state="visible" r:id="rId5"/>
    <sheet name="사용자 매출" sheetId="4" state="visible" r:id="rId6"/>
    <sheet name="매출 요약" sheetId="5" state="visible" r:id="rId7"/>
    <sheet name="시나리오 비교" sheetId="6" state="visible" r:id="rId8"/>
    <sheet name="민감도 분석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<sst xmlns="http://schemas.openxmlformats.org/spreadsheetml/2006/main" count="361" uniqueCount="240">
  <si>
    <r>
      <rPr>
        <b val="true"/>
        <sz val="16"/>
        <color rgb="FF0E3D2C"/>
        <rFont val="Arial"/>
        <family val="0"/>
        <charset val="1"/>
      </rPr>
      <t xml:space="preserve">HoldemNow 24</t>
    </r>
    <r>
      <rPr>
        <b val="true"/>
        <sz val="16"/>
        <color rgb="FF0E3D2C"/>
        <rFont val="Noto Sans CJK SC"/>
        <family val="2"/>
      </rPr>
      <t xml:space="preserve">개월 매출 시뮬레이션 모델</t>
    </r>
  </si>
  <si>
    <r>
      <rPr>
        <i val="true"/>
        <sz val="9"/>
        <color rgb="FF6B6E6C"/>
        <rFont val="Noto Sans CJK SC"/>
        <family val="2"/>
      </rPr>
      <t xml:space="preserve">파란색 셀 </t>
    </r>
    <r>
      <rPr>
        <i val="true"/>
        <sz val="9"/>
        <color rgb="FF6B6E6C"/>
        <rFont val="Arial"/>
        <family val="0"/>
        <charset val="1"/>
      </rPr>
      <t xml:space="preserve">= </t>
    </r>
    <r>
      <rPr>
        <i val="true"/>
        <sz val="9"/>
        <color rgb="FF6B6E6C"/>
        <rFont val="Noto Sans CJK SC"/>
        <family val="2"/>
      </rPr>
      <t xml:space="preserve">사용자 입력 </t>
    </r>
    <r>
      <rPr>
        <i val="true"/>
        <sz val="9"/>
        <color rgb="FF6B6E6C"/>
        <rFont val="Arial"/>
        <family val="0"/>
        <charset val="1"/>
      </rPr>
      <t xml:space="preserve">(</t>
    </r>
    <r>
      <rPr>
        <i val="true"/>
        <sz val="9"/>
        <color rgb="FF6B6E6C"/>
        <rFont val="Noto Sans CJK SC"/>
        <family val="2"/>
      </rPr>
      <t xml:space="preserve">수정 가능</t>
    </r>
    <r>
      <rPr>
        <i val="true"/>
        <sz val="9"/>
        <color rgb="FF6B6E6C"/>
        <rFont val="Arial"/>
        <family val="0"/>
        <charset val="1"/>
      </rPr>
      <t xml:space="preserve">) | </t>
    </r>
    <r>
      <rPr>
        <i val="true"/>
        <sz val="9"/>
        <color rgb="FF6B6E6C"/>
        <rFont val="Noto Sans CJK SC"/>
        <family val="2"/>
      </rPr>
      <t xml:space="preserve">검정 </t>
    </r>
    <r>
      <rPr>
        <i val="true"/>
        <sz val="9"/>
        <color rgb="FF6B6E6C"/>
        <rFont val="Arial"/>
        <family val="0"/>
        <charset val="1"/>
      </rPr>
      <t xml:space="preserve">= </t>
    </r>
    <r>
      <rPr>
        <i val="true"/>
        <sz val="9"/>
        <color rgb="FF6B6E6C"/>
        <rFont val="Noto Sans CJK SC"/>
        <family val="2"/>
      </rPr>
      <t xml:space="preserve">계산 </t>
    </r>
    <r>
      <rPr>
        <i val="true"/>
        <sz val="9"/>
        <color rgb="FF6B6E6C"/>
        <rFont val="Arial"/>
        <family val="0"/>
        <charset val="1"/>
      </rPr>
      <t xml:space="preserve">| </t>
    </r>
    <r>
      <rPr>
        <i val="true"/>
        <sz val="9"/>
        <color rgb="FF6B6E6C"/>
        <rFont val="Noto Sans CJK SC"/>
        <family val="2"/>
      </rPr>
      <t xml:space="preserve">초록 </t>
    </r>
    <r>
      <rPr>
        <i val="true"/>
        <sz val="9"/>
        <color rgb="FF6B6E6C"/>
        <rFont val="Arial"/>
        <family val="0"/>
        <charset val="1"/>
      </rPr>
      <t xml:space="preserve">= </t>
    </r>
    <r>
      <rPr>
        <i val="true"/>
        <sz val="9"/>
        <color rgb="FF6B6E6C"/>
        <rFont val="Noto Sans CJK SC"/>
        <family val="2"/>
      </rPr>
      <t xml:space="preserve">다른 시트 참조</t>
    </r>
  </si>
  <si>
    <r>
      <rPr>
        <b val="true"/>
        <sz val="11"/>
        <color rgb="FF0E3D2C"/>
        <rFont val="Noto Sans CJK SC"/>
        <family val="2"/>
      </rPr>
      <t xml:space="preserve">■ 매장</t>
    </r>
    <r>
      <rPr>
        <b val="true"/>
        <sz val="11"/>
        <color rgb="FF0E3D2C"/>
        <rFont val="Arial"/>
        <family val="0"/>
        <charset val="1"/>
      </rPr>
      <t xml:space="preserve">(Pub) </t>
    </r>
    <r>
      <rPr>
        <b val="true"/>
        <sz val="11"/>
        <color rgb="FF0E3D2C"/>
        <rFont val="Noto Sans CJK SC"/>
        <family val="2"/>
      </rPr>
      <t xml:space="preserve">가정</t>
    </r>
  </si>
  <si>
    <r>
      <rPr>
        <sz val="10"/>
        <rFont val="Noto Sans CJK SC"/>
        <family val="2"/>
      </rPr>
      <t xml:space="preserve">월간 신규 매장 등록 </t>
    </r>
    <r>
      <rPr>
        <sz val="10"/>
        <rFont val="Arial"/>
        <family val="0"/>
        <charset val="1"/>
      </rPr>
      <t xml:space="preserve">(M1-M6, </t>
    </r>
    <r>
      <rPr>
        <sz val="10"/>
        <rFont val="Noto Sans CJK SC"/>
        <family val="2"/>
      </rPr>
      <t xml:space="preserve">부산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경남 중심</t>
    </r>
    <r>
      <rPr>
        <sz val="10"/>
        <rFont val="Arial"/>
        <family val="0"/>
        <charset val="1"/>
      </rPr>
      <t xml:space="preserve">)</t>
    </r>
  </si>
  <si>
    <t xml:space="preserve">개</t>
  </si>
  <si>
    <r>
      <rPr>
        <sz val="10"/>
        <rFont val="Noto Sans CJK SC"/>
        <family val="2"/>
      </rPr>
      <t xml:space="preserve">월간 신규 매장 등록 </t>
    </r>
    <r>
      <rPr>
        <sz val="10"/>
        <rFont val="Arial"/>
        <family val="0"/>
        <charset val="1"/>
      </rPr>
      <t xml:space="preserve">(M7-M12, </t>
    </r>
    <r>
      <rPr>
        <sz val="10"/>
        <rFont val="Noto Sans CJK SC"/>
        <family val="2"/>
      </rPr>
      <t xml:space="preserve">수도권 확장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</si>
  <si>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월간 신규 매장 등록 </t>
    </r>
    <r>
      <rPr>
        <sz val="10"/>
        <rFont val="Arial"/>
        <family val="0"/>
        <charset val="1"/>
      </rPr>
      <t xml:space="preserve">(M13-M24, </t>
    </r>
    <r>
      <rPr>
        <sz val="10"/>
        <rFont val="Noto Sans CJK SC"/>
        <family val="2"/>
      </rPr>
      <t xml:space="preserve">전국 확장</t>
    </r>
    <r>
      <rPr>
        <sz val="10"/>
        <rFont val="Arial"/>
        <family val="0"/>
        <charset val="1"/>
      </rPr>
      <t xml:space="preserve">)</t>
    </r>
  </si>
  <si>
    <t xml:space="preserve">베이직 → 프리미엄 전환률</t>
  </si>
  <si>
    <t xml:space="preserve">%</t>
  </si>
  <si>
    <r>
      <rPr>
        <sz val="10"/>
        <rFont val="Noto Sans CJK SC"/>
        <family val="2"/>
      </rPr>
      <t xml:space="preserve">프리미엄 → </t>
    </r>
    <r>
      <rPr>
        <sz val="10"/>
        <rFont val="Arial"/>
        <family val="0"/>
        <charset val="1"/>
      </rPr>
      <t xml:space="preserve">VIP </t>
    </r>
    <r>
      <rPr>
        <sz val="10"/>
        <rFont val="Noto Sans CJK SC"/>
        <family val="2"/>
      </rPr>
      <t xml:space="preserve">전환률</t>
    </r>
  </si>
  <si>
    <t xml:space="preserve">월 매장 이탈률</t>
  </si>
  <si>
    <t xml:space="preserve">프리미엄 등급 월 요금</t>
  </si>
  <si>
    <t xml:space="preserve">원</t>
  </si>
  <si>
    <r>
      <rPr>
        <sz val="10"/>
        <rFont val="Arial"/>
        <family val="0"/>
        <charset val="1"/>
      </rPr>
      <t xml:space="preserve">VIP </t>
    </r>
    <r>
      <rPr>
        <sz val="10"/>
        <rFont val="Noto Sans CJK SC"/>
        <family val="2"/>
      </rPr>
      <t xml:space="preserve">등급 월 요금</t>
    </r>
  </si>
  <si>
    <r>
      <rPr>
        <sz val="10"/>
        <rFont val="Noto Sans CJK SC"/>
        <family val="2"/>
      </rPr>
      <t xml:space="preserve">유료 매장 당 평균 단발 광고 매출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</si>
  <si>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color rgb="FF0E3D2C"/>
        <rFont val="Noto Sans CJK SC"/>
        <family val="2"/>
      </rPr>
      <t xml:space="preserve">■ 대회사</t>
    </r>
    <r>
      <rPr>
        <b val="true"/>
        <sz val="11"/>
        <color rgb="FF0E3D2C"/>
        <rFont val="Arial"/>
        <family val="0"/>
        <charset val="1"/>
      </rPr>
      <t xml:space="preserve">(Tournament Organizer) </t>
    </r>
    <r>
      <rPr>
        <b val="true"/>
        <sz val="11"/>
        <color rgb="FF0E3D2C"/>
        <rFont val="Noto Sans CJK SC"/>
        <family val="2"/>
      </rPr>
      <t xml:space="preserve">가정</t>
    </r>
  </si>
  <si>
    <r>
      <rPr>
        <sz val="10"/>
        <rFont val="Noto Sans CJK SC"/>
        <family val="2"/>
      </rPr>
      <t xml:space="preserve">분기당 신규 영업 성공 </t>
    </r>
    <r>
      <rPr>
        <sz val="10"/>
        <rFont val="Arial"/>
        <family val="0"/>
        <charset val="1"/>
      </rPr>
      <t xml:space="preserve">(M1-M6)</t>
    </r>
  </si>
  <si>
    <t xml:space="preserve">곳</t>
  </si>
  <si>
    <r>
      <rPr>
        <sz val="10"/>
        <rFont val="Noto Sans CJK SC"/>
        <family val="2"/>
      </rPr>
      <t xml:space="preserve">분기당 신규 영업 성공 </t>
    </r>
    <r>
      <rPr>
        <sz val="10"/>
        <rFont val="Arial"/>
        <family val="0"/>
        <charset val="1"/>
      </rPr>
      <t xml:space="preserve">(M7-M12)</t>
    </r>
  </si>
  <si>
    <r>
      <rPr>
        <sz val="10"/>
        <rFont val="Noto Sans CJK SC"/>
        <family val="2"/>
      </rPr>
      <t xml:space="preserve">분기당 신규 영업 성공 </t>
    </r>
    <r>
      <rPr>
        <sz val="10"/>
        <rFont val="Arial"/>
        <family val="0"/>
        <charset val="1"/>
      </rPr>
      <t xml:space="preserve">(M13-M24)</t>
    </r>
  </si>
  <si>
    <r>
      <rPr>
        <sz val="10"/>
        <rFont val="Noto Sans CJK SC"/>
        <family val="2"/>
      </rPr>
      <t xml:space="preserve">대회사 평균 정기 결제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</si>
  <si>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대회사 분기 이탈률</t>
  </si>
  <si>
    <t xml:space="preserve">시리즈당 단발 광고 패키지</t>
  </si>
  <si>
    <r>
      <rPr>
        <sz val="10"/>
        <rFont val="Noto Sans CJK SC"/>
        <family val="2"/>
      </rPr>
      <t xml:space="preserve">대회사당 연 시리즈 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</si>
  <si>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color rgb="FF0E3D2C"/>
        <rFont val="Noto Sans CJK SC"/>
        <family val="2"/>
      </rPr>
      <t xml:space="preserve">■ 사용자</t>
    </r>
    <r>
      <rPr>
        <b val="true"/>
        <sz val="11"/>
        <color rgb="FF0E3D2C"/>
        <rFont val="Arial"/>
        <family val="0"/>
        <charset val="1"/>
      </rPr>
      <t xml:space="preserve">(Player) </t>
    </r>
    <r>
      <rPr>
        <b val="true"/>
        <sz val="11"/>
        <color rgb="FF0E3D2C"/>
        <rFont val="Noto Sans CJK SC"/>
        <family val="2"/>
      </rPr>
      <t xml:space="preserve">가정</t>
    </r>
  </si>
  <si>
    <r>
      <rPr>
        <sz val="10"/>
        <rFont val="Noto Sans CJK SC"/>
        <family val="2"/>
      </rPr>
      <t xml:space="preserve">초기 </t>
    </r>
    <r>
      <rPr>
        <sz val="10"/>
        <rFont val="Arial"/>
        <family val="0"/>
        <charset val="1"/>
      </rPr>
      <t xml:space="preserve">MAU (M1)</t>
    </r>
  </si>
  <si>
    <t xml:space="preserve">명</t>
  </si>
  <si>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MAU </t>
    </r>
    <r>
      <rPr>
        <sz val="10"/>
        <rFont val="Noto Sans CJK SC"/>
        <family val="2"/>
      </rPr>
      <t xml:space="preserve">성장률 </t>
    </r>
    <r>
      <rPr>
        <sz val="10"/>
        <rFont val="Arial"/>
        <family val="0"/>
        <charset val="1"/>
      </rPr>
      <t xml:space="preserve">(M1-M6)</t>
    </r>
  </si>
  <si>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MAU </t>
    </r>
    <r>
      <rPr>
        <sz val="10"/>
        <rFont val="Noto Sans CJK SC"/>
        <family val="2"/>
      </rPr>
      <t xml:space="preserve">성장률 </t>
    </r>
    <r>
      <rPr>
        <sz val="10"/>
        <rFont val="Arial"/>
        <family val="0"/>
        <charset val="1"/>
      </rPr>
      <t xml:space="preserve">(M7-M12)</t>
    </r>
  </si>
  <si>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MAU </t>
    </r>
    <r>
      <rPr>
        <sz val="10"/>
        <rFont val="Noto Sans CJK SC"/>
        <family val="2"/>
      </rPr>
      <t xml:space="preserve">성장률 </t>
    </r>
    <r>
      <rPr>
        <sz val="10"/>
        <rFont val="Arial"/>
        <family val="0"/>
        <charset val="1"/>
      </rPr>
      <t xml:space="preserve">(M13-M24)</t>
    </r>
  </si>
  <si>
    <t xml:space="preserve">사용자 프리미엄 전환률</t>
  </si>
  <si>
    <t xml:space="preserve">사용자 프리미엄 월 요금</t>
  </si>
  <si>
    <t xml:space="preserve">사용자 월 이탈률</t>
  </si>
  <si>
    <r>
      <rPr>
        <b val="true"/>
        <sz val="14"/>
        <color rgb="FF0E3D2C"/>
        <rFont val="Noto Sans CJK SC"/>
        <family val="2"/>
      </rPr>
      <t xml:space="preserve">매장</t>
    </r>
    <r>
      <rPr>
        <b val="true"/>
        <sz val="14"/>
        <color rgb="FF0E3D2C"/>
        <rFont val="Arial"/>
        <family val="0"/>
        <charset val="1"/>
      </rPr>
      <t xml:space="preserve">(Pub) </t>
    </r>
    <r>
      <rPr>
        <b val="true"/>
        <sz val="14"/>
        <color rgb="FF0E3D2C"/>
        <rFont val="Noto Sans CJK SC"/>
        <family val="2"/>
      </rPr>
      <t xml:space="preserve">매출 예측 </t>
    </r>
    <r>
      <rPr>
        <b val="true"/>
        <sz val="14"/>
        <color rgb="FF0E3D2C"/>
        <rFont val="Arial"/>
        <family val="0"/>
        <charset val="1"/>
      </rPr>
      <t xml:space="preserve">- 24</t>
    </r>
    <r>
      <rPr>
        <b val="true"/>
        <sz val="14"/>
        <color rgb="FF0E3D2C"/>
        <rFont val="Noto Sans CJK SC"/>
        <family val="2"/>
      </rPr>
      <t xml:space="preserve">개월</t>
    </r>
  </si>
  <si>
    <t xml:space="preserve">구분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</si>
  <si>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</si>
  <si>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</si>
  <si>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</si>
  <si>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</si>
  <si>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</si>
  <si>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</si>
  <si>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</si>
  <si>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</si>
  <si>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</si>
  <si>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</si>
  <si>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</si>
  <si>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</si>
  <si>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</si>
  <si>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</si>
  <si>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</si>
  <si>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</si>
  <si>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</si>
  <si>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</si>
  <si>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</si>
  <si>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</si>
  <si>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</si>
  <si>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</si>
  <si>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</si>
  <si>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</si>
  <si>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신규 등록 매장</t>
  </si>
  <si>
    <t xml:space="preserve">누적 등록 매장</t>
  </si>
  <si>
    <t xml:space="preserve">누적 이탈 매장</t>
  </si>
  <si>
    <t xml:space="preserve">활성 매장 수</t>
  </si>
  <si>
    <t xml:space="preserve">프리미엄 매장 수</t>
  </si>
  <si>
    <r>
      <rPr>
        <sz val="10"/>
        <color rgb="FF1A1F1C"/>
        <rFont val="Arial"/>
        <family val="0"/>
        <charset val="1"/>
      </rPr>
      <t xml:space="preserve">VIP </t>
    </r>
    <r>
      <rPr>
        <sz val="10"/>
        <color rgb="FF1A1F1C"/>
        <rFont val="Noto Sans CJK SC"/>
        <family val="2"/>
      </rPr>
      <t xml:space="preserve">매장 수</t>
    </r>
  </si>
  <si>
    <r>
      <rPr>
        <sz val="10"/>
        <color rgb="FF6B6E6C"/>
        <rFont val="Noto Sans CJK SC"/>
        <family val="2"/>
      </rPr>
      <t xml:space="preserve">무료</t>
    </r>
    <r>
      <rPr>
        <sz val="10"/>
        <color rgb="FF6B6E6C"/>
        <rFont val="Arial"/>
        <family val="0"/>
        <charset val="1"/>
      </rPr>
      <t xml:space="preserve">(</t>
    </r>
    <r>
      <rPr>
        <sz val="10"/>
        <color rgb="FF6B6E6C"/>
        <rFont val="Noto Sans CJK SC"/>
        <family val="2"/>
      </rPr>
      <t xml:space="preserve">베이직</t>
    </r>
    <r>
      <rPr>
        <sz val="10"/>
        <color rgb="FF6B6E6C"/>
        <rFont val="Arial"/>
        <family val="0"/>
        <charset val="1"/>
      </rPr>
      <t xml:space="preserve">) </t>
    </r>
    <r>
      <rPr>
        <sz val="10"/>
        <color rgb="FF6B6E6C"/>
        <rFont val="Noto Sans CJK SC"/>
        <family val="2"/>
      </rPr>
      <t xml:space="preserve">매장</t>
    </r>
  </si>
  <si>
    <t xml:space="preserve">프리미엄 정기 매출</t>
  </si>
  <si>
    <r>
      <rPr>
        <sz val="10"/>
        <rFont val="Arial"/>
        <family val="0"/>
        <charset val="1"/>
      </rPr>
      <t xml:space="preserve">VIP </t>
    </r>
    <r>
      <rPr>
        <sz val="10"/>
        <rFont val="Noto Sans CJK SC"/>
        <family val="2"/>
      </rPr>
      <t xml:space="preserve">정기 매출</t>
    </r>
  </si>
  <si>
    <t xml:space="preserve">단발 광고 매출</t>
  </si>
  <si>
    <t xml:space="preserve">매장 총 월매출</t>
  </si>
  <si>
    <r>
      <rPr>
        <b val="true"/>
        <sz val="14"/>
        <color rgb="FF0E3D2C"/>
        <rFont val="Noto Sans CJK SC"/>
        <family val="2"/>
      </rPr>
      <t xml:space="preserve">대회사</t>
    </r>
    <r>
      <rPr>
        <b val="true"/>
        <sz val="14"/>
        <color rgb="FF0E3D2C"/>
        <rFont val="Arial"/>
        <family val="0"/>
        <charset val="1"/>
      </rPr>
      <t xml:space="preserve">(Tournament Organizer) </t>
    </r>
    <r>
      <rPr>
        <b val="true"/>
        <sz val="14"/>
        <color rgb="FF0E3D2C"/>
        <rFont val="Noto Sans CJK SC"/>
        <family val="2"/>
      </rPr>
      <t xml:space="preserve">매출 예측 </t>
    </r>
    <r>
      <rPr>
        <b val="true"/>
        <sz val="14"/>
        <color rgb="FF0E3D2C"/>
        <rFont val="Arial"/>
        <family val="0"/>
        <charset val="1"/>
      </rPr>
      <t xml:space="preserve">- 24</t>
    </r>
    <r>
      <rPr>
        <b val="true"/>
        <sz val="14"/>
        <color rgb="FF0E3D2C"/>
        <rFont val="Noto Sans CJK SC"/>
        <family val="2"/>
      </rPr>
      <t xml:space="preserve">개월</t>
    </r>
  </si>
  <si>
    <r>
      <rPr>
        <b val="true"/>
        <sz val="10"/>
        <color rgb="FF1A1F1C"/>
        <rFont val="Noto Sans CJK SC"/>
        <family val="2"/>
      </rPr>
      <t xml:space="preserve">월별 신규 대회사 </t>
    </r>
    <r>
      <rPr>
        <b val="true"/>
        <sz val="10"/>
        <color rgb="FF1A1F1C"/>
        <rFont val="Arial"/>
        <family val="0"/>
        <charset val="1"/>
      </rPr>
      <t xml:space="preserve">(</t>
    </r>
    <r>
      <rPr>
        <b val="true"/>
        <sz val="10"/>
        <color rgb="FF1A1F1C"/>
        <rFont val="Noto Sans CJK SC"/>
        <family val="2"/>
      </rPr>
      <t xml:space="preserve">분기</t>
    </r>
    <r>
      <rPr>
        <b val="true"/>
        <sz val="10"/>
        <color rgb="FF1A1F1C"/>
        <rFont val="Arial"/>
        <family val="0"/>
        <charset val="1"/>
      </rPr>
      <t xml:space="preserve">/3)</t>
    </r>
  </si>
  <si>
    <t xml:space="preserve">누적 계약 대회사</t>
  </si>
  <si>
    <t xml:space="preserve">누적 이탈</t>
  </si>
  <si>
    <t xml:space="preserve">활성 대회사 수</t>
  </si>
  <si>
    <t xml:space="preserve">대회사 정기 매출</t>
  </si>
  <si>
    <t xml:space="preserve">시리즈 단발 광고 매출</t>
  </si>
  <si>
    <t xml:space="preserve">대회사 총 월매출</t>
  </si>
  <si>
    <r>
      <rPr>
        <b val="true"/>
        <sz val="14"/>
        <color rgb="FF0E3D2C"/>
        <rFont val="Noto Sans CJK SC"/>
        <family val="2"/>
      </rPr>
      <t xml:space="preserve">사용자</t>
    </r>
    <r>
      <rPr>
        <b val="true"/>
        <sz val="14"/>
        <color rgb="FF0E3D2C"/>
        <rFont val="Arial"/>
        <family val="0"/>
        <charset val="1"/>
      </rPr>
      <t xml:space="preserve">(Player) </t>
    </r>
    <r>
      <rPr>
        <b val="true"/>
        <sz val="14"/>
        <color rgb="FF0E3D2C"/>
        <rFont val="Noto Sans CJK SC"/>
        <family val="2"/>
      </rPr>
      <t xml:space="preserve">매출 예측 </t>
    </r>
    <r>
      <rPr>
        <b val="true"/>
        <sz val="14"/>
        <color rgb="FF0E3D2C"/>
        <rFont val="Arial"/>
        <family val="0"/>
        <charset val="1"/>
      </rPr>
      <t xml:space="preserve">- 24</t>
    </r>
    <r>
      <rPr>
        <b val="true"/>
        <sz val="14"/>
        <color rgb="FF0E3D2C"/>
        <rFont val="Noto Sans CJK SC"/>
        <family val="2"/>
      </rPr>
      <t xml:space="preserve">개월</t>
    </r>
  </si>
  <si>
    <r>
      <rPr>
        <b val="true"/>
        <sz val="10"/>
        <color rgb="FF1A1F1C"/>
        <rFont val="Arial"/>
        <family val="0"/>
        <charset val="1"/>
      </rPr>
      <t xml:space="preserve">MAU (</t>
    </r>
    <r>
      <rPr>
        <b val="true"/>
        <sz val="10"/>
        <color rgb="FF1A1F1C"/>
        <rFont val="Noto Sans CJK SC"/>
        <family val="2"/>
      </rPr>
      <t xml:space="preserve">월간 활성 사용자</t>
    </r>
    <r>
      <rPr>
        <b val="true"/>
        <sz val="10"/>
        <color rgb="FF1A1F1C"/>
        <rFont val="Arial"/>
        <family val="0"/>
        <charset val="1"/>
      </rPr>
      <t xml:space="preserve">)</t>
    </r>
  </si>
  <si>
    <t xml:space="preserve">프리미엄 사용자</t>
  </si>
  <si>
    <t xml:space="preserve">사용자 프리미엄 매출</t>
  </si>
  <si>
    <r>
      <rPr>
        <b val="true"/>
        <sz val="14"/>
        <color rgb="FF0E3D2C"/>
        <rFont val="Noto Sans CJK SC"/>
        <family val="2"/>
      </rPr>
      <t xml:space="preserve">월별 총 매출 요약 </t>
    </r>
    <r>
      <rPr>
        <b val="true"/>
        <sz val="14"/>
        <color rgb="FF0E3D2C"/>
        <rFont val="Arial"/>
        <family val="0"/>
        <charset val="1"/>
      </rPr>
      <t xml:space="preserve">(24</t>
    </r>
    <r>
      <rPr>
        <b val="true"/>
        <sz val="14"/>
        <color rgb="FF0E3D2C"/>
        <rFont val="Noto Sans CJK SC"/>
        <family val="2"/>
      </rPr>
      <t xml:space="preserve">개월</t>
    </r>
    <r>
      <rPr>
        <b val="true"/>
        <sz val="14"/>
        <color rgb="FF0E3D2C"/>
        <rFont val="Arial"/>
        <family val="0"/>
        <charset val="1"/>
      </rPr>
      <t xml:space="preserve">)</t>
    </r>
  </si>
  <si>
    <t xml:space="preserve">매출 구분</t>
  </si>
  <si>
    <r>
      <rPr>
        <sz val="10"/>
        <rFont val="Noto Sans CJK SC"/>
        <family val="2"/>
      </rPr>
      <t xml:space="preserve">매장 정기 매출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프리미엄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</si>
  <si>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매장 정기 매출 </t>
    </r>
    <r>
      <rPr>
        <sz val="10"/>
        <rFont val="Arial"/>
        <family val="0"/>
        <charset val="1"/>
      </rPr>
      <t xml:space="preserve">(VIP)</t>
    </r>
  </si>
  <si>
    <t xml:space="preserve">매장 단발 광고</t>
  </si>
  <si>
    <t xml:space="preserve">대회사 단발 광고</t>
  </si>
  <si>
    <t xml:space="preserve">사용자 프리미엄</t>
  </si>
  <si>
    <t xml:space="preserve">월 총 매출</t>
  </si>
  <si>
    <t xml:space="preserve">누적 매출</t>
  </si>
  <si>
    <t xml:space="preserve">■ 연간 매출 요약</t>
  </si>
  <si>
    <r>
      <rPr>
        <sz val="10"/>
        <rFont val="Arial"/>
        <family val="0"/>
        <charset val="1"/>
      </rPr>
      <t xml:space="preserve">Year 1 (M1-M12) </t>
    </r>
    <r>
      <rPr>
        <sz val="10"/>
        <rFont val="Noto Sans CJK SC"/>
        <family val="2"/>
      </rPr>
      <t xml:space="preserve">총 매출</t>
    </r>
  </si>
  <si>
    <r>
      <rPr>
        <sz val="10"/>
        <rFont val="Arial"/>
        <family val="0"/>
        <charset val="1"/>
      </rPr>
      <t xml:space="preserve">Year 2 (M13-M24) </t>
    </r>
    <r>
      <rPr>
        <sz val="10"/>
        <rFont val="Noto Sans CJK SC"/>
        <family val="2"/>
      </rPr>
      <t xml:space="preserve">총 매출</t>
    </r>
  </si>
  <si>
    <r>
      <rPr>
        <b val="true"/>
        <sz val="11"/>
        <rFont val="Arial"/>
        <family val="0"/>
        <charset val="1"/>
      </rPr>
      <t xml:space="preserve">24</t>
    </r>
    <r>
      <rPr>
        <b val="true"/>
        <sz val="11"/>
        <rFont val="Noto Sans CJK SC"/>
        <family val="2"/>
      </rPr>
      <t xml:space="preserve">개월 총 매출</t>
    </r>
  </si>
  <si>
    <r>
      <rPr>
        <b val="true"/>
        <sz val="14"/>
        <color rgb="FF0E3D2C"/>
        <rFont val="Arial"/>
        <family val="0"/>
        <charset val="1"/>
      </rPr>
      <t xml:space="preserve">3</t>
    </r>
    <r>
      <rPr>
        <b val="true"/>
        <sz val="14"/>
        <color rgb="FF0E3D2C"/>
        <rFont val="Noto Sans CJK SC"/>
        <family val="2"/>
      </rPr>
      <t xml:space="preserve">가지 시나리오 비교 </t>
    </r>
    <r>
      <rPr>
        <b val="true"/>
        <sz val="14"/>
        <color rgb="FF0E3D2C"/>
        <rFont val="Arial"/>
        <family val="0"/>
        <charset val="1"/>
      </rPr>
      <t xml:space="preserve">(</t>
    </r>
    <r>
      <rPr>
        <b val="true"/>
        <sz val="14"/>
        <color rgb="FF0E3D2C"/>
        <rFont val="Noto Sans CJK SC"/>
        <family val="2"/>
      </rPr>
      <t xml:space="preserve">참조용</t>
    </r>
    <r>
      <rPr>
        <b val="true"/>
        <sz val="14"/>
        <color rgb="FF0E3D2C"/>
        <rFont val="Arial"/>
        <family val="0"/>
        <charset val="1"/>
      </rPr>
      <t xml:space="preserve">)</t>
    </r>
  </si>
  <si>
    <t xml:space="preserve">아래 값들을 가정 시트에 입력하면 해당 시나리오 결과를 볼 수 있습니다</t>
  </si>
  <si>
    <t xml:space="preserve">항목</t>
  </si>
  <si>
    <r>
      <rPr>
        <b val="true"/>
        <sz val="10"/>
        <color rgb="FFFFFFFF"/>
        <rFont val="Noto Sans CJK SC"/>
        <family val="2"/>
      </rPr>
      <t xml:space="preserve">보수적 </t>
    </r>
    <r>
      <rPr>
        <b val="true"/>
        <sz val="10"/>
        <color rgb="FFFFFFFF"/>
        <rFont val="Arial"/>
        <family val="0"/>
        <charset val="1"/>
      </rPr>
      <t xml:space="preserve">(A)</t>
    </r>
  </si>
  <si>
    <r>
      <rPr>
        <b val="true"/>
        <sz val="10"/>
        <color rgb="FFFFFFFF"/>
        <rFont val="Noto Sans CJK SC"/>
        <family val="2"/>
      </rPr>
      <t xml:space="preserve">중간 </t>
    </r>
    <r>
      <rPr>
        <b val="true"/>
        <sz val="10"/>
        <color rgb="FFFFFFFF"/>
        <rFont val="Arial"/>
        <family val="0"/>
        <charset val="1"/>
      </rPr>
      <t xml:space="preserve">(B)</t>
    </r>
  </si>
  <si>
    <r>
      <rPr>
        <b val="true"/>
        <sz val="10"/>
        <color rgb="FFFFFFFF"/>
        <rFont val="Noto Sans CJK SC"/>
        <family val="2"/>
      </rPr>
      <t xml:space="preserve">낙관 </t>
    </r>
    <r>
      <rPr>
        <b val="true"/>
        <sz val="10"/>
        <color rgb="FFFFFFFF"/>
        <rFont val="Arial"/>
        <family val="0"/>
        <charset val="1"/>
      </rPr>
      <t xml:space="preserve">(C)</t>
    </r>
  </si>
  <si>
    <t xml:space="preserve">단위</t>
  </si>
  <si>
    <r>
      <rPr>
        <sz val="10"/>
        <rFont val="Noto Sans CJK SC"/>
        <family val="2"/>
      </rPr>
      <t xml:space="preserve">월 신규 매장 </t>
    </r>
    <r>
      <rPr>
        <sz val="10"/>
        <rFont val="Arial"/>
        <family val="0"/>
        <charset val="1"/>
      </rPr>
      <t xml:space="preserve">(M1-M6)</t>
    </r>
  </si>
  <si>
    <r>
      <rPr>
        <sz val="10"/>
        <rFont val="Noto Sans CJK SC"/>
        <family val="2"/>
      </rPr>
      <t xml:space="preserve">월 신규 매장 </t>
    </r>
    <r>
      <rPr>
        <sz val="10"/>
        <rFont val="Arial"/>
        <family val="0"/>
        <charset val="1"/>
      </rPr>
      <t xml:space="preserve">(M7-M12)</t>
    </r>
  </si>
  <si>
    <r>
      <rPr>
        <sz val="10"/>
        <rFont val="Noto Sans CJK SC"/>
        <family val="2"/>
      </rPr>
      <t xml:space="preserve">월 신규 매장 </t>
    </r>
    <r>
      <rPr>
        <sz val="10"/>
        <rFont val="Arial"/>
        <family val="0"/>
        <charset val="1"/>
      </rPr>
      <t xml:space="preserve">(M13-M24)</t>
    </r>
  </si>
  <si>
    <t xml:space="preserve">프리미엄 전환률</t>
  </si>
  <si>
    <t xml:space="preserve">20%</t>
  </si>
  <si>
    <t xml:space="preserve">30%</t>
  </si>
  <si>
    <t xml:space="preserve">40%</t>
  </si>
  <si>
    <r>
      <rPr>
        <sz val="10"/>
        <rFont val="Arial"/>
        <family val="0"/>
        <charset val="1"/>
      </rPr>
      <t xml:space="preserve">VIP </t>
    </r>
    <r>
      <rPr>
        <sz val="10"/>
        <rFont val="Noto Sans CJK SC"/>
        <family val="2"/>
      </rPr>
      <t xml:space="preserve">업그레이드율</t>
    </r>
  </si>
  <si>
    <t xml:space="preserve">5%</t>
  </si>
  <si>
    <t xml:space="preserve">10%</t>
  </si>
  <si>
    <t xml:space="preserve">15%</t>
  </si>
  <si>
    <t xml:space="preserve">3%</t>
  </si>
  <si>
    <t xml:space="preserve">2%</t>
  </si>
  <si>
    <r>
      <rPr>
        <sz val="10"/>
        <rFont val="Noto Sans CJK SC"/>
        <family val="2"/>
      </rPr>
      <t xml:space="preserve">분기 신규 대회사 </t>
    </r>
    <r>
      <rPr>
        <sz val="10"/>
        <rFont val="Arial"/>
        <family val="0"/>
        <charset val="1"/>
      </rPr>
      <t xml:space="preserve">(M1-M6)</t>
    </r>
  </si>
  <si>
    <r>
      <rPr>
        <sz val="10"/>
        <rFont val="Noto Sans CJK SC"/>
        <family val="2"/>
      </rPr>
      <t xml:space="preserve">분기 신규 대회사 </t>
    </r>
    <r>
      <rPr>
        <sz val="10"/>
        <rFont val="Arial"/>
        <family val="0"/>
        <charset val="1"/>
      </rPr>
      <t xml:space="preserve">(M7-M12)</t>
    </r>
  </si>
  <si>
    <r>
      <rPr>
        <sz val="10"/>
        <rFont val="Noto Sans CJK SC"/>
        <family val="2"/>
      </rPr>
      <t xml:space="preserve">분기 신규 대회사 </t>
    </r>
    <r>
      <rPr>
        <sz val="10"/>
        <rFont val="Arial"/>
        <family val="0"/>
        <charset val="1"/>
      </rPr>
      <t xml:space="preserve">(M13-M24)</t>
    </r>
  </si>
  <si>
    <r>
      <rPr>
        <sz val="10"/>
        <rFont val="Noto Sans CJK SC"/>
        <family val="2"/>
      </rPr>
      <t xml:space="preserve">초기 </t>
    </r>
    <r>
      <rPr>
        <sz val="10"/>
        <rFont val="Arial"/>
        <family val="0"/>
        <charset val="1"/>
      </rPr>
      <t xml:space="preserve">MAU</t>
    </r>
  </si>
  <si>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MAU </t>
    </r>
    <r>
      <rPr>
        <sz val="10"/>
        <rFont val="Noto Sans CJK SC"/>
        <family val="2"/>
      </rPr>
      <t xml:space="preserve">성장 </t>
    </r>
    <r>
      <rPr>
        <sz val="10"/>
        <rFont val="Arial"/>
        <family val="0"/>
        <charset val="1"/>
      </rPr>
      <t xml:space="preserve">(M1-M6)</t>
    </r>
  </si>
  <si>
    <t xml:space="preserve">50%</t>
  </si>
  <si>
    <t xml:space="preserve">80%</t>
  </si>
  <si>
    <t xml:space="preserve">1%</t>
  </si>
  <si>
    <r>
      <rPr>
        <b val="true"/>
        <sz val="11"/>
        <color rgb="FF0E3D2C"/>
        <rFont val="Noto Sans CJK SC"/>
        <family val="2"/>
      </rPr>
      <t xml:space="preserve">■ 예상 결과 </t>
    </r>
    <r>
      <rPr>
        <b val="true"/>
        <sz val="11"/>
        <color rgb="FF0E3D2C"/>
        <rFont val="Arial"/>
        <family val="0"/>
        <charset val="1"/>
      </rPr>
      <t xml:space="preserve">(24</t>
    </r>
    <r>
      <rPr>
        <b val="true"/>
        <sz val="11"/>
        <color rgb="FF0E3D2C"/>
        <rFont val="Noto Sans CJK SC"/>
        <family val="2"/>
      </rPr>
      <t xml:space="preserve">개월 시점</t>
    </r>
    <r>
      <rPr>
        <b val="true"/>
        <sz val="11"/>
        <color rgb="FF0E3D2C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</si>
  <si>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Y1 (12</t>
    </r>
    <r>
      <rPr>
        <b val="true"/>
        <sz val="10"/>
        <rFont val="Noto Sans CJK SC"/>
        <family val="2"/>
      </rPr>
      <t xml:space="preserve">개월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총 매출</t>
    </r>
  </si>
  <si>
    <r>
      <rPr>
        <sz val="10"/>
        <rFont val="Noto Sans CJK SC"/>
        <family val="2"/>
      </rPr>
      <t xml:space="preserve">약 ₩</t>
    </r>
    <r>
      <rPr>
        <sz val="10"/>
        <rFont val="Arial"/>
        <family val="0"/>
        <charset val="1"/>
      </rPr>
      <t xml:space="preserve">200M</t>
    </r>
  </si>
  <si>
    <r>
      <rPr>
        <sz val="10"/>
        <rFont val="Noto Sans CJK SC"/>
        <family val="2"/>
      </rPr>
      <t xml:space="preserve">약 ₩</t>
    </r>
    <r>
      <rPr>
        <sz val="10"/>
        <rFont val="Arial"/>
        <family val="0"/>
        <charset val="1"/>
      </rPr>
      <t xml:space="preserve">350M</t>
    </r>
  </si>
  <si>
    <r>
      <rPr>
        <sz val="10"/>
        <rFont val="Noto Sans CJK SC"/>
        <family val="2"/>
      </rPr>
      <t xml:space="preserve">약 ₩</t>
    </r>
    <r>
      <rPr>
        <sz val="10"/>
        <rFont val="Arial"/>
        <family val="0"/>
        <charset val="1"/>
      </rPr>
      <t xml:space="preserve">600M</t>
    </r>
  </si>
  <si>
    <r>
      <rPr>
        <b val="true"/>
        <sz val="10"/>
        <rFont val="Arial"/>
        <family val="0"/>
        <charset val="1"/>
      </rPr>
      <t xml:space="preserve">Y2 (24</t>
    </r>
    <r>
      <rPr>
        <b val="true"/>
        <sz val="10"/>
        <rFont val="Noto Sans CJK SC"/>
        <family val="2"/>
      </rPr>
      <t xml:space="preserve">개월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총 매출</t>
    </r>
  </si>
  <si>
    <r>
      <rPr>
        <sz val="10"/>
        <rFont val="Noto Sans CJK SC"/>
        <family val="2"/>
      </rPr>
      <t xml:space="preserve">약 ₩</t>
    </r>
    <r>
      <rPr>
        <sz val="10"/>
        <rFont val="Arial"/>
        <family val="0"/>
        <charset val="1"/>
      </rPr>
      <t xml:space="preserve">1.2B</t>
    </r>
  </si>
  <si>
    <r>
      <rPr>
        <sz val="10"/>
        <rFont val="Noto Sans CJK SC"/>
        <family val="2"/>
      </rPr>
      <t xml:space="preserve">약 ₩</t>
    </r>
    <r>
      <rPr>
        <sz val="10"/>
        <rFont val="Arial"/>
        <family val="0"/>
        <charset val="1"/>
      </rPr>
      <t xml:space="preserve">2.4B</t>
    </r>
  </si>
  <si>
    <r>
      <rPr>
        <b val="true"/>
        <sz val="10"/>
        <rFont val="Arial"/>
        <family val="0"/>
        <charset val="1"/>
      </rPr>
      <t xml:space="preserve">24</t>
    </r>
    <r>
      <rPr>
        <b val="true"/>
        <sz val="10"/>
        <rFont val="Noto Sans CJK SC"/>
        <family val="2"/>
      </rPr>
      <t xml:space="preserve">개월차 월 매출</t>
    </r>
  </si>
  <si>
    <r>
      <rPr>
        <sz val="10"/>
        <rFont val="Noto Sans CJK SC"/>
        <family val="2"/>
      </rPr>
      <t xml:space="preserve">약 ₩</t>
    </r>
    <r>
      <rPr>
        <sz val="10"/>
        <rFont val="Arial"/>
        <family val="0"/>
        <charset val="1"/>
      </rPr>
      <t xml:space="preserve">80M</t>
    </r>
  </si>
  <si>
    <r>
      <rPr>
        <sz val="10"/>
        <rFont val="Noto Sans CJK SC"/>
        <family val="2"/>
      </rPr>
      <t xml:space="preserve">약 ₩</t>
    </r>
    <r>
      <rPr>
        <sz val="10"/>
        <rFont val="Arial"/>
        <family val="0"/>
        <charset val="1"/>
      </rPr>
      <t xml:space="preserve">150M</t>
    </r>
  </si>
  <si>
    <r>
      <rPr>
        <sz val="10"/>
        <rFont val="Noto Sans CJK SC"/>
        <family val="2"/>
      </rPr>
      <t xml:space="preserve">약 ₩</t>
    </r>
    <r>
      <rPr>
        <sz val="10"/>
        <rFont val="Arial"/>
        <family val="0"/>
        <charset val="1"/>
      </rPr>
      <t xml:space="preserve">280M</t>
    </r>
  </si>
  <si>
    <r>
      <rPr>
        <b val="true"/>
        <sz val="10"/>
        <rFont val="Noto Sans CJK SC"/>
        <family val="2"/>
      </rPr>
      <t xml:space="preserve">활성 유료 매장 </t>
    </r>
    <r>
      <rPr>
        <b val="true"/>
        <sz val="10"/>
        <rFont val="Arial"/>
        <family val="0"/>
        <charset val="1"/>
      </rPr>
      <t xml:space="preserve">(24M)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</si>
  <si>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</si>
  <si>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</si>
  <si>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개</t>
    </r>
  </si>
  <si>
    <r>
      <rPr>
        <b val="true"/>
        <sz val="10"/>
        <rFont val="Noto Sans CJK SC"/>
        <family val="2"/>
      </rPr>
      <t xml:space="preserve">활성 대회사 </t>
    </r>
    <r>
      <rPr>
        <b val="true"/>
        <sz val="10"/>
        <rFont val="Arial"/>
        <family val="0"/>
        <charset val="1"/>
      </rPr>
      <t xml:space="preserve">(24M)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</si>
  <si>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곳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</si>
  <si>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곳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</si>
  <si>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곳</t>
    </r>
  </si>
  <si>
    <t xml:space="preserve">MAU (24M)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</si>
  <si>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80K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</si>
  <si>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200K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</si>
  <si>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500K</t>
    </r>
  </si>
  <si>
    <r>
      <rPr>
        <b val="true"/>
        <sz val="14"/>
        <color rgb="FF0E3D2C"/>
        <rFont val="Noto Sans CJK SC"/>
        <family val="2"/>
      </rPr>
      <t xml:space="preserve">핵심 변수별 민감도 분석 </t>
    </r>
    <r>
      <rPr>
        <b val="true"/>
        <sz val="14"/>
        <color rgb="FF0E3D2C"/>
        <rFont val="Arial"/>
        <family val="0"/>
        <charset val="1"/>
      </rPr>
      <t xml:space="preserve">(24</t>
    </r>
    <r>
      <rPr>
        <b val="true"/>
        <sz val="14"/>
        <color rgb="FF0E3D2C"/>
        <rFont val="Noto Sans CJK SC"/>
        <family val="2"/>
      </rPr>
      <t xml:space="preserve">개월차 월 매출 영향</t>
    </r>
    <r>
      <rPr>
        <b val="true"/>
        <sz val="14"/>
        <color rgb="FF0E3D2C"/>
        <rFont val="Arial"/>
        <family val="0"/>
        <charset val="1"/>
      </rPr>
      <t xml:space="preserve">)</t>
    </r>
  </si>
  <si>
    <r>
      <rPr>
        <b val="true"/>
        <sz val="11"/>
        <color rgb="FF0E3D2C"/>
        <rFont val="Noto Sans CJK SC"/>
        <family val="2"/>
      </rPr>
      <t xml:space="preserve">변수 </t>
    </r>
    <r>
      <rPr>
        <b val="true"/>
        <sz val="11"/>
        <color rgb="FF0E3D2C"/>
        <rFont val="Arial"/>
        <family val="0"/>
        <charset val="1"/>
      </rPr>
      <t xml:space="preserve">1: </t>
    </r>
    <r>
      <rPr>
        <b val="true"/>
        <sz val="11"/>
        <color rgb="FF0E3D2C"/>
        <rFont val="Noto Sans CJK SC"/>
        <family val="2"/>
      </rPr>
      <t xml:space="preserve">프리미엄 전환률 변화 → </t>
    </r>
    <r>
      <rPr>
        <b val="true"/>
        <sz val="11"/>
        <color rgb="FF0E3D2C"/>
        <rFont val="Arial"/>
        <family val="0"/>
        <charset val="1"/>
      </rPr>
      <t xml:space="preserve">24</t>
    </r>
    <r>
      <rPr>
        <b val="true"/>
        <sz val="11"/>
        <color rgb="FF0E3D2C"/>
        <rFont val="Noto Sans CJK SC"/>
        <family val="2"/>
      </rPr>
      <t xml:space="preserve">개월차 월 매출 변동</t>
    </r>
  </si>
  <si>
    <t xml:space="preserve">활성 프리미엄</t>
  </si>
  <si>
    <r>
      <rPr>
        <b val="true"/>
        <sz val="10"/>
        <color rgb="FFFFFFFF"/>
        <rFont val="Noto Sans CJK SC"/>
        <family val="2"/>
      </rPr>
      <t xml:space="preserve">활성 </t>
    </r>
    <r>
      <rPr>
        <b val="true"/>
        <sz val="10"/>
        <color rgb="FFFFFFFF"/>
        <rFont val="Arial"/>
        <family val="0"/>
        <charset val="1"/>
      </rPr>
      <t xml:space="preserve">VIP</t>
    </r>
  </si>
  <si>
    <t xml:space="preserve">매장 정기 매출</t>
  </si>
  <si>
    <t xml:space="preserve">매장 단발</t>
  </si>
  <si>
    <t xml:space="preserve">예상 월 매출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</si>
  <si>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</si>
  <si>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개</t>
    </r>
  </si>
  <si>
    <t xml:space="preserve">₩19,335,000</t>
  </si>
  <si>
    <t xml:space="preserve">₩8,250,000</t>
  </si>
  <si>
    <t xml:space="preserve">₩28~30M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</si>
  <si>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개</t>
    </r>
  </si>
  <si>
    <t xml:space="preserve">₩25,780,000</t>
  </si>
  <si>
    <t xml:space="preserve">₩11,000,000</t>
  </si>
  <si>
    <t xml:space="preserve">₩37~40M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</si>
  <si>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</si>
  <si>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개</t>
    </r>
  </si>
  <si>
    <t xml:space="preserve">₩38,670,000</t>
  </si>
  <si>
    <t xml:space="preserve">₩16,500,000</t>
  </si>
  <si>
    <t xml:space="preserve">₩56~60M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</si>
  <si>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</si>
  <si>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개</t>
    </r>
  </si>
  <si>
    <t xml:space="preserve">₩51,560,000</t>
  </si>
  <si>
    <t xml:space="preserve">₩22,000,000</t>
  </si>
  <si>
    <t xml:space="preserve">₩74~80M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</si>
  <si>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개</t>
    </r>
  </si>
  <si>
    <t xml:space="preserve">₩64,450,000</t>
  </si>
  <si>
    <t xml:space="preserve">₩27,500,000</t>
  </si>
  <si>
    <t xml:space="preserve">₩93~100M</t>
  </si>
  <si>
    <r>
      <rPr>
        <i val="true"/>
        <sz val="9"/>
        <color rgb="FF6B6E6C"/>
        <rFont val="Noto Sans CJK SC"/>
        <family val="2"/>
      </rPr>
      <t xml:space="preserve">해석</t>
    </r>
    <r>
      <rPr>
        <i val="true"/>
        <sz val="9"/>
        <color rgb="FF6B6E6C"/>
        <rFont val="Arial"/>
        <family val="0"/>
        <charset val="1"/>
      </rPr>
      <t xml:space="preserve">: </t>
    </r>
    <r>
      <rPr>
        <i val="true"/>
        <sz val="9"/>
        <color rgb="FF6B6E6C"/>
        <rFont val="Noto Sans CJK SC"/>
        <family val="2"/>
      </rPr>
      <t xml:space="preserve">프리미엄 전환률이 </t>
    </r>
    <r>
      <rPr>
        <i val="true"/>
        <sz val="9"/>
        <color rgb="FF6B6E6C"/>
        <rFont val="Arial"/>
        <family val="0"/>
        <charset val="1"/>
      </rPr>
      <t xml:space="preserve">30% → 40% </t>
    </r>
    <r>
      <rPr>
        <i val="true"/>
        <sz val="9"/>
        <color rgb="FF6B6E6C"/>
        <rFont val="Noto Sans CJK SC"/>
        <family val="2"/>
      </rPr>
      <t xml:space="preserve">상승하면 월 매출 약 </t>
    </r>
    <r>
      <rPr>
        <i val="true"/>
        <sz val="9"/>
        <color rgb="FF6B6E6C"/>
        <rFont val="Arial"/>
        <family val="0"/>
        <charset val="1"/>
      </rPr>
      <t xml:space="preserve">35% </t>
    </r>
    <r>
      <rPr>
        <i val="true"/>
        <sz val="9"/>
        <color rgb="FF6B6E6C"/>
        <rFont val="Noto Sans CJK SC"/>
        <family val="2"/>
      </rPr>
      <t xml:space="preserve">증가</t>
    </r>
    <r>
      <rPr>
        <i val="true"/>
        <sz val="9"/>
        <color rgb="FF6B6E6C"/>
        <rFont val="Arial"/>
        <family val="0"/>
        <charset val="1"/>
      </rPr>
      <t xml:space="preserve">. </t>
    </r>
    <r>
      <rPr>
        <i val="true"/>
        <sz val="9"/>
        <color rgb="FF6B6E6C"/>
        <rFont val="Noto Sans CJK SC"/>
        <family val="2"/>
      </rPr>
      <t xml:space="preserve">핵심 </t>
    </r>
    <r>
      <rPr>
        <i val="true"/>
        <sz val="9"/>
        <color rgb="FF6B6E6C"/>
        <rFont val="Arial"/>
        <family val="0"/>
        <charset val="1"/>
      </rPr>
      <t xml:space="preserve">KPI.</t>
    </r>
  </si>
  <si>
    <r>
      <rPr>
        <b val="true"/>
        <sz val="11"/>
        <color rgb="FF0E3D2C"/>
        <rFont val="Noto Sans CJK SC"/>
        <family val="2"/>
      </rPr>
      <t xml:space="preserve">변수 </t>
    </r>
    <r>
      <rPr>
        <b val="true"/>
        <sz val="11"/>
        <color rgb="FF0E3D2C"/>
        <rFont val="Arial"/>
        <family val="0"/>
        <charset val="1"/>
      </rPr>
      <t xml:space="preserve">2: </t>
    </r>
    <r>
      <rPr>
        <b val="true"/>
        <sz val="11"/>
        <color rgb="FF0E3D2C"/>
        <rFont val="Noto Sans CJK SC"/>
        <family val="2"/>
      </rPr>
      <t xml:space="preserve">활성 대회사 수 → </t>
    </r>
    <r>
      <rPr>
        <b val="true"/>
        <sz val="11"/>
        <color rgb="FF0E3D2C"/>
        <rFont val="Arial"/>
        <family val="0"/>
        <charset val="1"/>
      </rPr>
      <t xml:space="preserve">24</t>
    </r>
    <r>
      <rPr>
        <b val="true"/>
        <sz val="11"/>
        <color rgb="FF0E3D2C"/>
        <rFont val="Noto Sans CJK SC"/>
        <family val="2"/>
      </rPr>
      <t xml:space="preserve">개월차 월 매출 영향</t>
    </r>
  </si>
  <si>
    <t xml:space="preserve">정기 매출</t>
  </si>
  <si>
    <t xml:space="preserve">단발 광고</t>
  </si>
  <si>
    <t xml:space="preserve">대회사 총 매출</t>
  </si>
  <si>
    <t xml:space="preserve">전체 매출 기여도</t>
  </si>
  <si>
    <t xml:space="preserve">₩1,500,000</t>
  </si>
  <si>
    <t xml:space="preserve">₩937,500</t>
  </si>
  <si>
    <t xml:space="preserve">₩2,437,500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</si>
  <si>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5%</t>
    </r>
  </si>
  <si>
    <t xml:space="preserve">₩4,000,000</t>
  </si>
  <si>
    <t xml:space="preserve">₩2,500,000</t>
  </si>
  <si>
    <t xml:space="preserve">₩6,500,000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</si>
  <si>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12%</t>
    </r>
  </si>
  <si>
    <t xml:space="preserve">₩7,500,000</t>
  </si>
  <si>
    <t xml:space="preserve">₩4,687,500</t>
  </si>
  <si>
    <t xml:space="preserve">₩12,187,500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</si>
  <si>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18%</t>
    </r>
  </si>
  <si>
    <t xml:space="preserve">₩12,500,000</t>
  </si>
  <si>
    <t xml:space="preserve">₩7,812,500</t>
  </si>
  <si>
    <t xml:space="preserve">₩20,312,500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</si>
  <si>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25%</t>
    </r>
  </si>
  <si>
    <t xml:space="preserve">₩20,000,000</t>
  </si>
  <si>
    <t xml:space="preserve">₩32,500,000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</si>
  <si>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32%</t>
    </r>
  </si>
  <si>
    <r>
      <rPr>
        <i val="true"/>
        <sz val="9"/>
        <color rgb="FF6B6E6C"/>
        <rFont val="Noto Sans CJK SC"/>
        <family val="2"/>
      </rPr>
      <t xml:space="preserve">해석</t>
    </r>
    <r>
      <rPr>
        <i val="true"/>
        <sz val="9"/>
        <color rgb="FF6B6E6C"/>
        <rFont val="Arial"/>
        <family val="0"/>
        <charset val="1"/>
      </rPr>
      <t xml:space="preserve">: </t>
    </r>
    <r>
      <rPr>
        <i val="true"/>
        <sz val="9"/>
        <color rgb="FF6B6E6C"/>
        <rFont val="Noto Sans CJK SC"/>
        <family val="2"/>
      </rPr>
      <t xml:space="preserve">대회사 </t>
    </r>
    <r>
      <rPr>
        <i val="true"/>
        <sz val="9"/>
        <color rgb="FF6B6E6C"/>
        <rFont val="Arial"/>
        <family val="0"/>
        <charset val="1"/>
      </rPr>
      <t xml:space="preserve">1</t>
    </r>
    <r>
      <rPr>
        <i val="true"/>
        <sz val="9"/>
        <color rgb="FF6B6E6C"/>
        <rFont val="Noto Sans CJK SC"/>
        <family val="2"/>
      </rPr>
      <t xml:space="preserve">곳 신규 계약 </t>
    </r>
    <r>
      <rPr>
        <i val="true"/>
        <sz val="9"/>
        <color rgb="FF6B6E6C"/>
        <rFont val="Arial"/>
        <family val="0"/>
        <charset val="1"/>
      </rPr>
      <t xml:space="preserve">= </t>
    </r>
    <r>
      <rPr>
        <i val="true"/>
        <sz val="9"/>
        <color rgb="FF6B6E6C"/>
        <rFont val="Noto Sans CJK SC"/>
        <family val="2"/>
      </rPr>
      <t xml:space="preserve">매장 </t>
    </r>
    <r>
      <rPr>
        <i val="true"/>
        <sz val="9"/>
        <color rgb="FF6B6E6C"/>
        <rFont val="Arial"/>
        <family val="0"/>
        <charset val="1"/>
      </rPr>
      <t xml:space="preserve">4~5</t>
    </r>
    <r>
      <rPr>
        <i val="true"/>
        <sz val="9"/>
        <color rgb="FF6B6E6C"/>
        <rFont val="Noto Sans CJK SC"/>
        <family val="2"/>
      </rPr>
      <t xml:space="preserve">곳 신규 가입과 같은 매출 효과</t>
    </r>
    <r>
      <rPr>
        <i val="true"/>
        <sz val="9"/>
        <color rgb="FF6B6E6C"/>
        <rFont val="Arial"/>
        <family val="0"/>
        <charset val="1"/>
      </rPr>
      <t xml:space="preserve">. </t>
    </r>
    <r>
      <rPr>
        <i val="true"/>
        <sz val="9"/>
        <color rgb="FF6B6E6C"/>
        <rFont val="Noto Sans CJK SC"/>
        <family val="2"/>
      </rPr>
      <t xml:space="preserve">영업 </t>
    </r>
    <r>
      <rPr>
        <i val="true"/>
        <sz val="9"/>
        <color rgb="FF6B6E6C"/>
        <rFont val="Arial"/>
        <family val="0"/>
        <charset val="1"/>
      </rPr>
      <t xml:space="preserve">ROI </t>
    </r>
    <r>
      <rPr>
        <i val="true"/>
        <sz val="9"/>
        <color rgb="FF6B6E6C"/>
        <rFont val="Noto Sans CJK SC"/>
        <family val="2"/>
      </rPr>
      <t xml:space="preserve">매우 높음</t>
    </r>
    <r>
      <rPr>
        <i val="true"/>
        <sz val="9"/>
        <color rgb="FF6B6E6C"/>
        <rFont val="Arial"/>
        <family val="0"/>
        <charset val="1"/>
      </rPr>
      <t xml:space="preserve">.</t>
    </r>
  </si>
  <si>
    <r>
      <rPr>
        <b val="true"/>
        <sz val="11"/>
        <color rgb="FF0E3D2C"/>
        <rFont val="Noto Sans CJK SC"/>
        <family val="2"/>
      </rPr>
      <t xml:space="preserve">변수 </t>
    </r>
    <r>
      <rPr>
        <b val="true"/>
        <sz val="11"/>
        <color rgb="FF0E3D2C"/>
        <rFont val="Arial"/>
        <family val="0"/>
        <charset val="1"/>
      </rPr>
      <t xml:space="preserve">3: </t>
    </r>
    <r>
      <rPr>
        <b val="true"/>
        <sz val="11"/>
        <color rgb="FF0E3D2C"/>
        <rFont val="Noto Sans CJK SC"/>
        <family val="2"/>
      </rPr>
      <t xml:space="preserve">매장 이탈률 → </t>
    </r>
    <r>
      <rPr>
        <b val="true"/>
        <sz val="11"/>
        <color rgb="FF0E3D2C"/>
        <rFont val="Arial"/>
        <family val="0"/>
        <charset val="1"/>
      </rPr>
      <t xml:space="preserve">24</t>
    </r>
    <r>
      <rPr>
        <b val="true"/>
        <sz val="11"/>
        <color rgb="FF0E3D2C"/>
        <rFont val="Noto Sans CJK SC"/>
        <family val="2"/>
      </rPr>
      <t xml:space="preserve">개월 누적 매출 영향</t>
    </r>
  </si>
  <si>
    <t xml:space="preserve">월 이탈률</t>
  </si>
  <si>
    <r>
      <rPr>
        <b val="true"/>
        <sz val="10"/>
        <color rgb="FFFFFFFF"/>
        <rFont val="Arial"/>
        <family val="0"/>
        <charset val="1"/>
      </rPr>
      <t xml:space="preserve">24M </t>
    </r>
    <r>
      <rPr>
        <b val="true"/>
        <sz val="10"/>
        <color rgb="FFFFFFFF"/>
        <rFont val="Noto Sans CJK SC"/>
        <family val="2"/>
      </rPr>
      <t xml:space="preserve">활성 매장</t>
    </r>
  </si>
  <si>
    <r>
      <rPr>
        <b val="true"/>
        <sz val="10"/>
        <color rgb="FFFFFFFF"/>
        <rFont val="Arial"/>
        <family val="0"/>
        <charset val="1"/>
      </rPr>
      <t xml:space="preserve">Y2 </t>
    </r>
    <r>
      <rPr>
        <b val="true"/>
        <sz val="10"/>
        <color rgb="FFFFFFFF"/>
        <rFont val="Noto Sans CJK SC"/>
        <family val="2"/>
      </rPr>
      <t xml:space="preserve">매장 매출</t>
    </r>
  </si>
  <si>
    <r>
      <rPr>
        <b val="true"/>
        <sz val="10"/>
        <color rgb="FFFFFFFF"/>
        <rFont val="Arial"/>
        <family val="0"/>
        <charset val="1"/>
      </rPr>
      <t xml:space="preserve">Y2 </t>
    </r>
    <r>
      <rPr>
        <b val="true"/>
        <sz val="10"/>
        <color rgb="FFFFFFFF"/>
        <rFont val="Noto Sans CJK SC"/>
        <family val="2"/>
      </rPr>
      <t xml:space="preserve">총 매출 영향</t>
    </r>
  </si>
  <si>
    <t xml:space="preserve">비고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</si>
  <si>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1,400</t>
    </r>
    <r>
      <rPr>
        <sz val="10"/>
        <rFont val="Noto Sans CJK SC"/>
        <family val="2"/>
      </rPr>
      <t xml:space="preserve">개</t>
    </r>
  </si>
  <si>
    <t xml:space="preserve">높음</t>
  </si>
  <si>
    <t xml:space="preserve">+15%</t>
  </si>
  <si>
    <r>
      <rPr>
        <sz val="10"/>
        <rFont val="Noto Sans CJK SC"/>
        <family val="2"/>
      </rPr>
      <t xml:space="preserve">거의 이탈 없음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비현실적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</si>
  <si>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1,200</t>
    </r>
    <r>
      <rPr>
        <sz val="10"/>
        <rFont val="Noto Sans CJK SC"/>
        <family val="2"/>
      </rPr>
      <t xml:space="preserve">개</t>
    </r>
  </si>
  <si>
    <t xml:space="preserve">양호</t>
  </si>
  <si>
    <t xml:space="preserve">+8%</t>
  </si>
  <si>
    <t xml:space="preserve">우수한 락인</t>
  </si>
  <si>
    <t xml:space="preserve">기준</t>
  </si>
  <si>
    <t xml:space="preserve">본 모델 기본 가정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</si>
  <si>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개</t>
    </r>
  </si>
  <si>
    <t xml:space="preserve">낮음</t>
  </si>
  <si>
    <t xml:space="preserve">-12%</t>
  </si>
  <si>
    <r>
      <rPr>
        <sz val="10"/>
        <rFont val="Noto Sans CJK SC"/>
        <family val="2"/>
      </rPr>
      <t xml:space="preserve">주의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만족도 점검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</si>
  <si>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450</t>
    </r>
    <r>
      <rPr>
        <sz val="10"/>
        <rFont val="Noto Sans CJK SC"/>
        <family val="2"/>
      </rPr>
      <t xml:space="preserve">개</t>
    </r>
  </si>
  <si>
    <t xml:space="preserve">위험</t>
  </si>
  <si>
    <t xml:space="preserve">-28%</t>
  </si>
  <si>
    <r>
      <rPr>
        <sz val="10"/>
        <rFont val="Noto Sans CJK SC"/>
        <family val="2"/>
      </rPr>
      <t xml:space="preserve">위험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운영 재점검</t>
    </r>
  </si>
  <si>
    <r>
      <rPr>
        <i val="true"/>
        <sz val="9"/>
        <color rgb="FF6B6E6C"/>
        <rFont val="Noto Sans CJK SC"/>
        <family val="2"/>
      </rPr>
      <t xml:space="preserve">해석</t>
    </r>
    <r>
      <rPr>
        <i val="true"/>
        <sz val="9"/>
        <color rgb="FF6B6E6C"/>
        <rFont val="Arial"/>
        <family val="0"/>
        <charset val="1"/>
      </rPr>
      <t xml:space="preserve">: </t>
    </r>
    <r>
      <rPr>
        <i val="true"/>
        <sz val="9"/>
        <color rgb="FF6B6E6C"/>
        <rFont val="Noto Sans CJK SC"/>
        <family val="2"/>
      </rPr>
      <t xml:space="preserve">이탈률 </t>
    </r>
    <r>
      <rPr>
        <i val="true"/>
        <sz val="9"/>
        <color rgb="FF6B6E6C"/>
        <rFont val="Arial"/>
        <family val="0"/>
        <charset val="1"/>
      </rPr>
      <t xml:space="preserve">1%p </t>
    </r>
    <r>
      <rPr>
        <i val="true"/>
        <sz val="9"/>
        <color rgb="FF6B6E6C"/>
        <rFont val="Noto Sans CJK SC"/>
        <family val="2"/>
      </rPr>
      <t xml:space="preserve">차이가 </t>
    </r>
    <r>
      <rPr>
        <i val="true"/>
        <sz val="9"/>
        <color rgb="FF6B6E6C"/>
        <rFont val="Arial"/>
        <family val="0"/>
        <charset val="1"/>
      </rPr>
      <t xml:space="preserve">24</t>
    </r>
    <r>
      <rPr>
        <i val="true"/>
        <sz val="9"/>
        <color rgb="FF6B6E6C"/>
        <rFont val="Noto Sans CJK SC"/>
        <family val="2"/>
      </rPr>
      <t xml:space="preserve">개월 매출의 </t>
    </r>
    <r>
      <rPr>
        <i val="true"/>
        <sz val="9"/>
        <color rgb="FF6B6E6C"/>
        <rFont val="Arial"/>
        <family val="0"/>
        <charset val="1"/>
      </rPr>
      <t xml:space="preserve">7~10%p </t>
    </r>
    <r>
      <rPr>
        <i val="true"/>
        <sz val="9"/>
        <color rgb="FF6B6E6C"/>
        <rFont val="Noto Sans CJK SC"/>
        <family val="2"/>
      </rPr>
      <t xml:space="preserve">차이를 만든다</t>
    </r>
    <r>
      <rPr>
        <i val="true"/>
        <sz val="9"/>
        <color rgb="FF6B6E6C"/>
        <rFont val="Arial"/>
        <family val="0"/>
        <charset val="1"/>
      </rPr>
      <t xml:space="preserve">. CS·</t>
    </r>
    <r>
      <rPr>
        <i val="true"/>
        <sz val="9"/>
        <color rgb="FF6B6E6C"/>
        <rFont val="Noto Sans CJK SC"/>
        <family val="2"/>
      </rPr>
      <t xml:space="preserve">운영 만족도가 핵심</t>
    </r>
    <r>
      <rPr>
        <i val="true"/>
        <sz val="9"/>
        <color rgb="FF6B6E6C"/>
        <rFont val="Arial"/>
        <family val="0"/>
        <charset val="1"/>
      </rPr>
      <t xml:space="preserve">.</t>
    </r>
  </si>
  <si>
    <t xml:space="preserve">■ Unit Economics (LTV)</t>
  </si>
  <si>
    <t xml:space="preserve">고객 유형</t>
  </si>
  <si>
    <r>
      <rPr>
        <b val="true"/>
        <sz val="10"/>
        <color rgb="FFFFFFFF"/>
        <rFont val="Noto Sans CJK SC"/>
        <family val="2"/>
      </rPr>
      <t xml:space="preserve">평균 유지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개월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</si>
  <si>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월 객단가</t>
  </si>
  <si>
    <t xml:space="preserve">LTV</t>
  </si>
  <si>
    <r>
      <rPr>
        <b val="true"/>
        <sz val="10"/>
        <rFont val="Noto Sans CJK SC"/>
        <family val="2"/>
      </rPr>
      <t xml:space="preserve">유료 매장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프리미엄</t>
    </r>
    <r>
      <rPr>
        <b val="true"/>
        <sz val="10"/>
        <rFont val="Arial"/>
        <family val="0"/>
        <charset val="1"/>
      </rPr>
      <t xml:space="preserve">)</t>
    </r>
  </si>
  <si>
    <t xml:space="preserve">평균 유지</t>
  </si>
  <si>
    <r>
      <rPr>
        <b val="true"/>
        <sz val="10"/>
        <rFont val="Noto Sans CJK SC"/>
        <family val="2"/>
      </rPr>
      <t xml:space="preserve">유료 매장 </t>
    </r>
    <r>
      <rPr>
        <b val="true"/>
        <sz val="10"/>
        <rFont val="Arial"/>
        <family val="0"/>
        <charset val="1"/>
      </rPr>
      <t xml:space="preserve">(VIP)</t>
    </r>
  </si>
  <si>
    <t xml:space="preserve">장기 유지</t>
  </si>
  <si>
    <t xml:space="preserve">대회사</t>
  </si>
  <si>
    <r>
      <rPr>
        <sz val="10"/>
        <rFont val="Noto Sans CJK SC"/>
        <family val="2"/>
      </rPr>
      <t xml:space="preserve">매장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곳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대회사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곳</t>
    </r>
  </si>
  <si>
    <r>
      <rPr>
        <sz val="10"/>
        <rFont val="Noto Sans CJK SC"/>
        <family val="2"/>
      </rPr>
      <t xml:space="preserve">소액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단발성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</si>
</sst>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₩#,##0;&quot;(₩&quot;#,##0\);\-"/>
    <numFmt numFmtId="168" formatCode="0.00"/>
    <numFmt numFmtId="169" formatCode="0.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3D2C"/>
      <name val="Arial"/>
      <family val="0"/>
      <charset val="1"/>
    </font>
    <font>
      <b val="true"/>
      <sz val="16"/>
      <color rgb="FF0E3D2C"/>
      <name val="Noto Sans CJK SC"/>
      <family val="2"/>
    </font>
    <font>
      <i val="true"/>
      <sz val="9"/>
      <color rgb="FF6B6E6C"/>
      <name val="Noto Sans CJK SC"/>
      <family val="2"/>
    </font>
    <font>
      <i val="true"/>
      <sz val="9"/>
      <color rgb="FF6B6E6C"/>
      <name val="Arial"/>
      <family val="0"/>
      <charset val="1"/>
    </font>
    <font>
      <b val="true"/>
      <sz val="11"/>
      <color rgb="FF0E3D2C"/>
      <name val="Noto Sans CJK SC"/>
      <family val="2"/>
    </font>
    <font>
      <b val="true"/>
      <sz val="11"/>
      <color rgb="FF0E3D2C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6B6E6C"/>
      <name val="Noto Sans CJK SC"/>
      <family val="2"/>
    </font>
    <font>
      <sz val="9"/>
      <color rgb="FF6B6E6C"/>
      <name val="Arial"/>
      <family val="0"/>
      <charset val="1"/>
    </font>
    <font>
      <b val="true"/>
      <sz val="14"/>
      <color rgb="FF0E3D2C"/>
      <name val="Noto Sans CJK SC"/>
      <family val="2"/>
    </font>
    <font>
      <b val="true"/>
      <sz val="14"/>
      <color rgb="FF0E3D2C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A1F1C"/>
      <name val="Noto Sans CJK SC"/>
      <family val="2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6B6E6C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sz val="10"/>
      <color rgb="FF1A1F1C"/>
      <name val="Noto Sans CJK SC"/>
      <family val="2"/>
    </font>
    <font>
      <sz val="10"/>
      <color rgb="FF1A1F1C"/>
      <name val="Arial"/>
      <family val="0"/>
      <charset val="1"/>
    </font>
    <font>
      <sz val="10"/>
      <color rgb="FF6B6E6C"/>
      <name val="Arial"/>
      <family val="0"/>
      <charset val="1"/>
    </font>
    <font>
      <b val="true"/>
      <sz val="10"/>
      <color rgb="FF1A1F1C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E0"/>
        <bgColor rgb="FFFFF8E1"/>
      </patternFill>
    </fill>
    <fill>
      <patternFill patternType="solid">
        <fgColor rgb="FF0E3D2C"/>
        <bgColor rgb="FF003366"/>
      </patternFill>
    </fill>
    <fill>
      <patternFill patternType="solid">
        <fgColor rgb="FFF4F1E8"/>
        <bgColor rgb="FFFFF8E1"/>
      </patternFill>
    </fill>
    <fill>
      <patternFill patternType="solid">
        <fgColor rgb="FFFFF8E1"/>
        <bgColor rgb="FFFFFFE0"/>
      </patternFill>
    </fill>
    <fill>
      <patternFill patternType="solid">
        <fgColor rgb="FFD4AF37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F4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8E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FF6600"/>
      <rgbColor rgb="FF6B6E6C"/>
      <rgbColor rgb="FF969696"/>
      <rgbColor rgb="FF003366"/>
      <rgbColor rgb="FF339966"/>
      <rgbColor rgb="FF0E3D2C"/>
      <rgbColor rgb="FF333300"/>
      <rgbColor rgb="FF993300"/>
      <rgbColor rgb="FF993366"/>
      <rgbColor rgb="FF333399"/>
      <rgbColor rgb="FF1A1F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6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</row>
    <row r="2" customFormat="false" ht="14.15" hidden="false" customHeight="false" outlineLevel="0" collapsed="false">
      <c r="A2" s="2" t="s">
        <v>1</v>
      </c>
      <c r="B2" s="2"/>
      <c r="C2" s="2"/>
      <c r="D2" s="2"/>
    </row>
    <row r="4" customFormat="false" ht="17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30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60</v>
      </c>
      <c r="C6" s="6" t="s">
        <v>4</v>
      </c>
    </row>
    <row r="7" customFormat="false" ht="15" hidden="false" customHeight="false" outlineLevel="0" collapsed="false">
      <c r="A7" s="4" t="s">
        <v>6</v>
      </c>
      <c r="B7" s="5" t="n">
        <v>80</v>
      </c>
      <c r="C7" s="6" t="s">
        <v>4</v>
      </c>
    </row>
    <row r="8" customFormat="false" ht="15" hidden="false" customHeight="false" outlineLevel="0" collapsed="false">
      <c r="A8" s="4" t="s">
        <v>7</v>
      </c>
      <c r="B8" s="7" t="n">
        <v>0.3</v>
      </c>
      <c r="C8" s="8" t="s">
        <v>8</v>
      </c>
    </row>
    <row r="9" customFormat="false" ht="15" hidden="false" customHeight="false" outlineLevel="0" collapsed="false">
      <c r="A9" s="4" t="s">
        <v>9</v>
      </c>
      <c r="B9" s="7" t="n">
        <v>0.1</v>
      </c>
      <c r="C9" s="8" t="s">
        <v>8</v>
      </c>
    </row>
    <row r="10" customFormat="false" ht="15" hidden="false" customHeight="false" outlineLevel="0" collapsed="false">
      <c r="A10" s="4" t="s">
        <v>10</v>
      </c>
      <c r="B10" s="7" t="n">
        <v>0.03</v>
      </c>
      <c r="C10" s="8" t="s">
        <v>8</v>
      </c>
    </row>
    <row r="11" customFormat="false" ht="15" hidden="false" customHeight="false" outlineLevel="0" collapsed="false">
      <c r="A11" s="4" t="s">
        <v>11</v>
      </c>
      <c r="B11" s="9" t="n">
        <v>99000</v>
      </c>
      <c r="C11" s="6" t="s">
        <v>12</v>
      </c>
    </row>
    <row r="12" customFormat="false" ht="15" hidden="false" customHeight="false" outlineLevel="0" collapsed="false">
      <c r="A12" s="10" t="s">
        <v>13</v>
      </c>
      <c r="B12" s="9" t="n">
        <v>299000</v>
      </c>
      <c r="C12" s="6" t="s">
        <v>12</v>
      </c>
    </row>
    <row r="13" customFormat="false" ht="15" hidden="false" customHeight="false" outlineLevel="0" collapsed="false">
      <c r="A13" s="4" t="s">
        <v>14</v>
      </c>
      <c r="B13" s="9" t="n">
        <v>50000</v>
      </c>
      <c r="C13" s="6" t="s">
        <v>12</v>
      </c>
    </row>
    <row r="15" customFormat="false" ht="17.15" hidden="false" customHeight="false" outlineLevel="0" collapsed="false">
      <c r="A15" s="3" t="s">
        <v>15</v>
      </c>
    </row>
    <row r="16" customFormat="false" ht="15" hidden="false" customHeight="false" outlineLevel="0" collapsed="false">
      <c r="A16" s="4" t="s">
        <v>16</v>
      </c>
      <c r="B16" s="5" t="n">
        <v>1</v>
      </c>
      <c r="C16" s="6" t="s">
        <v>17</v>
      </c>
    </row>
    <row r="17" customFormat="false" ht="15" hidden="false" customHeight="false" outlineLevel="0" collapsed="false">
      <c r="A17" s="4" t="s">
        <v>18</v>
      </c>
      <c r="B17" s="5" t="n">
        <v>2</v>
      </c>
      <c r="C17" s="6" t="s">
        <v>17</v>
      </c>
    </row>
    <row r="18" customFormat="false" ht="15" hidden="false" customHeight="false" outlineLevel="0" collapsed="false">
      <c r="A18" s="4" t="s">
        <v>19</v>
      </c>
      <c r="B18" s="5" t="n">
        <v>3</v>
      </c>
      <c r="C18" s="6" t="s">
        <v>17</v>
      </c>
    </row>
    <row r="19" customFormat="false" ht="15" hidden="false" customHeight="false" outlineLevel="0" collapsed="false">
      <c r="A19" s="4" t="s">
        <v>20</v>
      </c>
      <c r="B19" s="9" t="n">
        <v>500000</v>
      </c>
      <c r="C19" s="6" t="s">
        <v>12</v>
      </c>
    </row>
    <row r="20" customFormat="false" ht="15" hidden="false" customHeight="false" outlineLevel="0" collapsed="false">
      <c r="A20" s="4" t="s">
        <v>21</v>
      </c>
      <c r="B20" s="7" t="n">
        <v>0.05</v>
      </c>
      <c r="C20" s="8" t="s">
        <v>8</v>
      </c>
    </row>
    <row r="21" customFormat="false" ht="15" hidden="false" customHeight="false" outlineLevel="0" collapsed="false">
      <c r="A21" s="4" t="s">
        <v>22</v>
      </c>
      <c r="B21" s="9" t="n">
        <v>1500000</v>
      </c>
      <c r="C21" s="6" t="s">
        <v>12</v>
      </c>
    </row>
    <row r="22" customFormat="false" ht="15" hidden="false" customHeight="false" outlineLevel="0" collapsed="false">
      <c r="A22" s="4" t="s">
        <v>23</v>
      </c>
      <c r="B22" s="5" t="n">
        <v>2.5</v>
      </c>
      <c r="C22" s="6" t="s">
        <v>4</v>
      </c>
    </row>
    <row r="24" customFormat="false" ht="17.15" hidden="false" customHeight="false" outlineLevel="0" collapsed="false">
      <c r="A24" s="3" t="s">
        <v>24</v>
      </c>
    </row>
    <row r="25" customFormat="false" ht="15" hidden="false" customHeight="false" outlineLevel="0" collapsed="false">
      <c r="A25" s="4" t="s">
        <v>25</v>
      </c>
      <c r="B25" s="5" t="n">
        <v>1000</v>
      </c>
      <c r="C25" s="6" t="s">
        <v>26</v>
      </c>
    </row>
    <row r="26" customFormat="false" ht="15" hidden="false" customHeight="false" outlineLevel="0" collapsed="false">
      <c r="A26" s="4" t="s">
        <v>27</v>
      </c>
      <c r="B26" s="7" t="n">
        <v>0.5</v>
      </c>
      <c r="C26" s="8" t="s">
        <v>8</v>
      </c>
    </row>
    <row r="27" customFormat="false" ht="15" hidden="false" customHeight="false" outlineLevel="0" collapsed="false">
      <c r="A27" s="4" t="s">
        <v>28</v>
      </c>
      <c r="B27" s="7" t="n">
        <v>0.25</v>
      </c>
      <c r="C27" s="8" t="s">
        <v>8</v>
      </c>
    </row>
    <row r="28" customFormat="false" ht="15" hidden="false" customHeight="false" outlineLevel="0" collapsed="false">
      <c r="A28" s="4" t="s">
        <v>29</v>
      </c>
      <c r="B28" s="7" t="n">
        <v>0.15</v>
      </c>
      <c r="C28" s="8" t="s">
        <v>8</v>
      </c>
    </row>
    <row r="29" customFormat="false" ht="15" hidden="false" customHeight="false" outlineLevel="0" collapsed="false">
      <c r="A29" s="4" t="s">
        <v>30</v>
      </c>
      <c r="B29" s="7" t="n">
        <v>0.02</v>
      </c>
      <c r="C29" s="8" t="s">
        <v>8</v>
      </c>
    </row>
    <row r="30" customFormat="false" ht="15" hidden="false" customHeight="false" outlineLevel="0" collapsed="false">
      <c r="A30" s="4" t="s">
        <v>31</v>
      </c>
      <c r="B30" s="9" t="n">
        <v>4900</v>
      </c>
      <c r="C30" s="6" t="s">
        <v>12</v>
      </c>
    </row>
    <row r="31" customFormat="false" ht="15" hidden="false" customHeight="false" outlineLevel="0" collapsed="false">
      <c r="A31" s="4" t="s">
        <v>32</v>
      </c>
      <c r="B31" s="7" t="n">
        <v>0.05</v>
      </c>
      <c r="C31" s="8" t="s">
        <v>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5" min="2" style="0" width="11"/>
  </cols>
  <sheetData>
    <row r="1" customFormat="false" ht="21.6" hidden="false" customHeight="false" outlineLevel="0" collapsed="false">
      <c r="A1" s="11" t="s">
        <v>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3" customFormat="false" ht="15" hidden="false" customHeight="false" outlineLevel="0" collapsed="false">
      <c r="A3" s="12" t="s">
        <v>34</v>
      </c>
      <c r="B3" s="13" t="s">
        <v>35</v>
      </c>
      <c r="C3" s="13" t="s">
        <v>36</v>
      </c>
      <c r="D3" s="13" t="s">
        <v>37</v>
      </c>
      <c r="E3" s="13" t="s">
        <v>38</v>
      </c>
      <c r="F3" s="13" t="s">
        <v>39</v>
      </c>
      <c r="G3" s="13" t="s">
        <v>40</v>
      </c>
      <c r="H3" s="13" t="s">
        <v>41</v>
      </c>
      <c r="I3" s="13" t="s">
        <v>42</v>
      </c>
      <c r="J3" s="13" t="s">
        <v>43</v>
      </c>
      <c r="K3" s="13" t="s">
        <v>44</v>
      </c>
      <c r="L3" s="13" t="s">
        <v>45</v>
      </c>
      <c r="M3" s="13" t="s">
        <v>46</v>
      </c>
      <c r="N3" s="13" t="s">
        <v>47</v>
      </c>
      <c r="O3" s="13" t="s">
        <v>48</v>
      </c>
      <c r="P3" s="13" t="s">
        <v>49</v>
      </c>
      <c r="Q3" s="13" t="s">
        <v>50</v>
      </c>
      <c r="R3" s="13" t="s">
        <v>51</v>
      </c>
      <c r="S3" s="13" t="s">
        <v>52</v>
      </c>
      <c r="T3" s="13" t="s">
        <v>53</v>
      </c>
      <c r="U3" s="13" t="s">
        <v>54</v>
      </c>
      <c r="V3" s="13" t="s">
        <v>55</v>
      </c>
      <c r="W3" s="13" t="s">
        <v>56</v>
      </c>
      <c r="X3" s="13" t="s">
        <v>57</v>
      </c>
      <c r="Y3" s="13" t="s">
        <v>58</v>
      </c>
    </row>
    <row r="4" customFormat="false" ht="15" hidden="false" customHeight="false" outlineLevel="0" collapsed="false">
      <c r="A4" s="14" t="s">
        <v>59</v>
      </c>
      <c r="B4" s="15" t="n">
        <f aca="false">가정!$B$5</f>
        <v>30</v>
      </c>
      <c r="C4" s="15" t="n">
        <f aca="false">가정!$B$5</f>
        <v>30</v>
      </c>
      <c r="D4" s="15" t="n">
        <f aca="false">가정!$B$5</f>
        <v>30</v>
      </c>
      <c r="E4" s="15" t="n">
        <f aca="false">가정!$B$5</f>
        <v>30</v>
      </c>
      <c r="F4" s="15" t="n">
        <f aca="false">가정!$B$5</f>
        <v>30</v>
      </c>
      <c r="G4" s="15" t="n">
        <f aca="false">가정!$B$5</f>
        <v>30</v>
      </c>
      <c r="H4" s="15" t="n">
        <f aca="false">가정!$B$6</f>
        <v>60</v>
      </c>
      <c r="I4" s="15" t="n">
        <f aca="false">가정!$B$6</f>
        <v>60</v>
      </c>
      <c r="J4" s="15" t="n">
        <f aca="false">가정!$B$6</f>
        <v>60</v>
      </c>
      <c r="K4" s="15" t="n">
        <f aca="false">가정!$B$6</f>
        <v>60</v>
      </c>
      <c r="L4" s="15" t="n">
        <f aca="false">가정!$B$6</f>
        <v>60</v>
      </c>
      <c r="M4" s="15" t="n">
        <f aca="false">가정!$B$6</f>
        <v>60</v>
      </c>
      <c r="N4" s="15" t="n">
        <f aca="false">가정!$B$7</f>
        <v>80</v>
      </c>
      <c r="O4" s="15" t="n">
        <f aca="false">가정!$B$7</f>
        <v>80</v>
      </c>
      <c r="P4" s="15" t="n">
        <f aca="false">가정!$B$7</f>
        <v>80</v>
      </c>
      <c r="Q4" s="15" t="n">
        <f aca="false">가정!$B$7</f>
        <v>80</v>
      </c>
      <c r="R4" s="15" t="n">
        <f aca="false">가정!$B$7</f>
        <v>80</v>
      </c>
      <c r="S4" s="15" t="n">
        <f aca="false">가정!$B$7</f>
        <v>80</v>
      </c>
      <c r="T4" s="15" t="n">
        <f aca="false">가정!$B$7</f>
        <v>80</v>
      </c>
      <c r="U4" s="15" t="n">
        <f aca="false">가정!$B$7</f>
        <v>80</v>
      </c>
      <c r="V4" s="15" t="n">
        <f aca="false">가정!$B$7</f>
        <v>80</v>
      </c>
      <c r="W4" s="15" t="n">
        <f aca="false">가정!$B$7</f>
        <v>80</v>
      </c>
      <c r="X4" s="15" t="n">
        <f aca="false">가정!$B$7</f>
        <v>80</v>
      </c>
      <c r="Y4" s="15" t="n">
        <f aca="false">가정!$B$7</f>
        <v>80</v>
      </c>
    </row>
    <row r="5" customFormat="false" ht="15" hidden="false" customHeight="false" outlineLevel="0" collapsed="false">
      <c r="A5" s="14" t="s">
        <v>60</v>
      </c>
      <c r="B5" s="16" t="n">
        <f aca="false">B4</f>
        <v>30</v>
      </c>
      <c r="C5" s="16" t="n">
        <f aca="false">B5+C4</f>
        <v>60</v>
      </c>
      <c r="D5" s="16" t="n">
        <f aca="false">C5+D4</f>
        <v>90</v>
      </c>
      <c r="E5" s="16" t="n">
        <f aca="false">D5+E4</f>
        <v>120</v>
      </c>
      <c r="F5" s="16" t="n">
        <f aca="false">E5+F4</f>
        <v>150</v>
      </c>
      <c r="G5" s="16" t="n">
        <f aca="false">F5+G4</f>
        <v>180</v>
      </c>
      <c r="H5" s="16" t="n">
        <f aca="false">G5+H4</f>
        <v>240</v>
      </c>
      <c r="I5" s="16" t="n">
        <f aca="false">H5+I4</f>
        <v>300</v>
      </c>
      <c r="J5" s="16" t="n">
        <f aca="false">I5+J4</f>
        <v>360</v>
      </c>
      <c r="K5" s="16" t="n">
        <f aca="false">J5+K4</f>
        <v>420</v>
      </c>
      <c r="L5" s="16" t="n">
        <f aca="false">K5+L4</f>
        <v>480</v>
      </c>
      <c r="M5" s="16" t="n">
        <f aca="false">L5+M4</f>
        <v>540</v>
      </c>
      <c r="N5" s="16" t="n">
        <f aca="false">M5+N4</f>
        <v>620</v>
      </c>
      <c r="O5" s="16" t="n">
        <f aca="false">N5+O4</f>
        <v>700</v>
      </c>
      <c r="P5" s="16" t="n">
        <f aca="false">O5+P4</f>
        <v>780</v>
      </c>
      <c r="Q5" s="16" t="n">
        <f aca="false">P5+Q4</f>
        <v>860</v>
      </c>
      <c r="R5" s="16" t="n">
        <f aca="false">Q5+R4</f>
        <v>940</v>
      </c>
      <c r="S5" s="16" t="n">
        <f aca="false">R5+S4</f>
        <v>1020</v>
      </c>
      <c r="T5" s="16" t="n">
        <f aca="false">S5+T4</f>
        <v>1100</v>
      </c>
      <c r="U5" s="16" t="n">
        <f aca="false">T5+U4</f>
        <v>1180</v>
      </c>
      <c r="V5" s="16" t="n">
        <f aca="false">U5+V4</f>
        <v>1260</v>
      </c>
      <c r="W5" s="16" t="n">
        <f aca="false">V5+W4</f>
        <v>1340</v>
      </c>
      <c r="X5" s="16" t="n">
        <f aca="false">W5+X4</f>
        <v>1420</v>
      </c>
      <c r="Y5" s="16" t="n">
        <f aca="false">X5+Y4</f>
        <v>1500</v>
      </c>
    </row>
    <row r="6" customFormat="false" ht="15" hidden="false" customHeight="false" outlineLevel="0" collapsed="false">
      <c r="A6" s="17" t="s">
        <v>61</v>
      </c>
      <c r="B6" s="16" t="n">
        <f aca="false">0</f>
        <v>0</v>
      </c>
      <c r="C6" s="16" t="n">
        <f aca="false">B6+B7*가정!$B$10</f>
        <v>0.9</v>
      </c>
      <c r="D6" s="16" t="n">
        <f aca="false">C6+C7*가정!$B$10</f>
        <v>2.673</v>
      </c>
      <c r="E6" s="16" t="n">
        <f aca="false">D6+D7*가정!$B$10</f>
        <v>5.29281</v>
      </c>
      <c r="F6" s="16" t="n">
        <f aca="false">E6+E7*가정!$B$10</f>
        <v>8.7340257</v>
      </c>
      <c r="G6" s="16" t="n">
        <f aca="false">F6+F7*가정!$B$10</f>
        <v>12.972004929</v>
      </c>
      <c r="H6" s="16" t="n">
        <f aca="false">G6+G7*가정!$B$10</f>
        <v>17.98284478113</v>
      </c>
      <c r="I6" s="16" t="n">
        <f aca="false">H6+H7*가정!$B$10</f>
        <v>24.6433594376961</v>
      </c>
      <c r="J6" s="16" t="n">
        <f aca="false">I6+I7*가정!$B$10</f>
        <v>32.9040586545652</v>
      </c>
      <c r="K6" s="16" t="n">
        <f aca="false">J6+J7*가정!$B$10</f>
        <v>42.7169368949283</v>
      </c>
      <c r="L6" s="16" t="n">
        <f aca="false">K6+K7*가정!$B$10</f>
        <v>54.0354287880804</v>
      </c>
      <c r="M6" s="16" t="n">
        <f aca="false">L6+L7*가정!$B$10</f>
        <v>66.814365924438</v>
      </c>
      <c r="N6" s="16" t="n">
        <f aca="false">M6+M7*가정!$B$10</f>
        <v>81.0099349467049</v>
      </c>
      <c r="O6" s="16" t="n">
        <f aca="false">N6+N7*가정!$B$10</f>
        <v>97.1796368983037</v>
      </c>
      <c r="P6" s="16" t="n">
        <f aca="false">O6+O7*가정!$B$10</f>
        <v>115.264247791355</v>
      </c>
      <c r="Q6" s="16" t="n">
        <f aca="false">P6+P7*가정!$B$10</f>
        <v>135.206320357614</v>
      </c>
      <c r="R6" s="16" t="n">
        <f aca="false">Q6+Q7*가정!$B$10</f>
        <v>156.950130746886</v>
      </c>
      <c r="S6" s="16" t="n">
        <f aca="false">R6+R7*가정!$B$10</f>
        <v>180.441626824479</v>
      </c>
      <c r="T6" s="16" t="n">
        <f aca="false">S6+S7*가정!$B$10</f>
        <v>205.628378019745</v>
      </c>
      <c r="U6" s="16" t="n">
        <f aca="false">T6+T7*가정!$B$10</f>
        <v>232.459526679152</v>
      </c>
      <c r="V6" s="16" t="n">
        <f aca="false">U6+U7*가정!$B$10</f>
        <v>260.885740878778</v>
      </c>
      <c r="W6" s="16" t="n">
        <f aca="false">V6+V7*가정!$B$10</f>
        <v>290.859168652414</v>
      </c>
      <c r="X6" s="16" t="n">
        <f aca="false">W6+W7*가정!$B$10</f>
        <v>322.333393592842</v>
      </c>
      <c r="Y6" s="16" t="n">
        <f aca="false">X6+X7*가정!$B$10</f>
        <v>355.263391785057</v>
      </c>
    </row>
    <row r="7" customFormat="false" ht="15" hidden="false" customHeight="false" outlineLevel="0" collapsed="false">
      <c r="A7" s="18" t="s">
        <v>62</v>
      </c>
      <c r="B7" s="19" t="n">
        <f aca="false">B5-B6</f>
        <v>30</v>
      </c>
      <c r="C7" s="19" t="n">
        <f aca="false">C5-C6</f>
        <v>59.1</v>
      </c>
      <c r="D7" s="19" t="n">
        <f aca="false">D5-D6</f>
        <v>87.327</v>
      </c>
      <c r="E7" s="19" t="n">
        <f aca="false">E5-E6</f>
        <v>114.70719</v>
      </c>
      <c r="F7" s="19" t="n">
        <f aca="false">F5-F6</f>
        <v>141.2659743</v>
      </c>
      <c r="G7" s="19" t="n">
        <f aca="false">G5-G6</f>
        <v>167.027995071</v>
      </c>
      <c r="H7" s="19" t="n">
        <f aca="false">H5-H6</f>
        <v>222.01715521887</v>
      </c>
      <c r="I7" s="19" t="n">
        <f aca="false">I5-I6</f>
        <v>275.356640562304</v>
      </c>
      <c r="J7" s="19" t="n">
        <f aca="false">J5-J6</f>
        <v>327.095941345435</v>
      </c>
      <c r="K7" s="19" t="n">
        <f aca="false">K5-K6</f>
        <v>377.283063105072</v>
      </c>
      <c r="L7" s="19" t="n">
        <f aca="false">L5-L6</f>
        <v>425.96457121192</v>
      </c>
      <c r="M7" s="19" t="n">
        <f aca="false">M5-M6</f>
        <v>473.185634075562</v>
      </c>
      <c r="N7" s="19" t="n">
        <f aca="false">N5-N6</f>
        <v>538.990065053295</v>
      </c>
      <c r="O7" s="19" t="n">
        <f aca="false">O5-O6</f>
        <v>602.820363101696</v>
      </c>
      <c r="P7" s="19" t="n">
        <f aca="false">P5-P6</f>
        <v>664.735752208645</v>
      </c>
      <c r="Q7" s="19" t="n">
        <f aca="false">Q5-Q6</f>
        <v>724.793679642386</v>
      </c>
      <c r="R7" s="19" t="n">
        <f aca="false">R5-R6</f>
        <v>783.049869253115</v>
      </c>
      <c r="S7" s="19" t="n">
        <f aca="false">S5-S6</f>
        <v>839.558373175521</v>
      </c>
      <c r="T7" s="19" t="n">
        <f aca="false">T5-T6</f>
        <v>894.371621980255</v>
      </c>
      <c r="U7" s="19" t="n">
        <f aca="false">U5-U6</f>
        <v>947.540473320848</v>
      </c>
      <c r="V7" s="19" t="n">
        <f aca="false">V5-V6</f>
        <v>999.114259121222</v>
      </c>
      <c r="W7" s="19" t="n">
        <f aca="false">W5-W6</f>
        <v>1049.14083134759</v>
      </c>
      <c r="X7" s="19" t="n">
        <f aca="false">X5-X6</f>
        <v>1097.66660640716</v>
      </c>
      <c r="Y7" s="19" t="n">
        <f aca="false">Y5-Y6</f>
        <v>1144.73660821494</v>
      </c>
    </row>
    <row r="9" customFormat="false" ht="15" hidden="false" customHeight="false" outlineLevel="0" collapsed="false">
      <c r="A9" s="20" t="s">
        <v>63</v>
      </c>
      <c r="B9" s="16" t="n">
        <f aca="false">MAX(0,B7*가정!$B$8*(1-가정!$B$9))</f>
        <v>8.1</v>
      </c>
      <c r="C9" s="16" t="n">
        <f aca="false">MAX(0,C7*가정!$B$8*(1-가정!$B$9))</f>
        <v>15.957</v>
      </c>
      <c r="D9" s="16" t="n">
        <f aca="false">MAX(0,D7*가정!$B$8*(1-가정!$B$9))</f>
        <v>23.57829</v>
      </c>
      <c r="E9" s="16" t="n">
        <f aca="false">MAX(0,E7*가정!$B$8*(1-가정!$B$9))</f>
        <v>30.9709413</v>
      </c>
      <c r="F9" s="16" t="n">
        <f aca="false">MAX(0,F7*가정!$B$8*(1-가정!$B$9))</f>
        <v>38.141813061</v>
      </c>
      <c r="G9" s="16" t="n">
        <f aca="false">MAX(0,G7*가정!$B$8*(1-가정!$B$9))</f>
        <v>45.09755866917</v>
      </c>
      <c r="H9" s="16" t="n">
        <f aca="false">MAX(0,H7*가정!$B$8*(1-가정!$B$9))</f>
        <v>59.9446319090949</v>
      </c>
      <c r="I9" s="16" t="n">
        <f aca="false">MAX(0,I7*가정!$B$8*(1-가정!$B$9))</f>
        <v>74.3462929518221</v>
      </c>
      <c r="J9" s="16" t="n">
        <f aca="false">MAX(0,J7*가정!$B$8*(1-가정!$B$9))</f>
        <v>88.3159041632674</v>
      </c>
      <c r="K9" s="16" t="n">
        <f aca="false">MAX(0,K7*가정!$B$8*(1-가정!$B$9))</f>
        <v>101.866427038369</v>
      </c>
      <c r="L9" s="16" t="n">
        <f aca="false">MAX(0,L7*가정!$B$8*(1-가정!$B$9))</f>
        <v>115.010434227218</v>
      </c>
      <c r="M9" s="16" t="n">
        <f aca="false">MAX(0,M7*가정!$B$8*(1-가정!$B$9))</f>
        <v>127.760121200402</v>
      </c>
      <c r="N9" s="16" t="n">
        <f aca="false">MAX(0,N7*가정!$B$8*(1-가정!$B$9))</f>
        <v>145.52731756439</v>
      </c>
      <c r="O9" s="16" t="n">
        <f aca="false">MAX(0,O7*가정!$B$8*(1-가정!$B$9))</f>
        <v>162.761498037458</v>
      </c>
      <c r="P9" s="16" t="n">
        <f aca="false">MAX(0,P7*가정!$B$8*(1-가정!$B$9))</f>
        <v>179.478653096334</v>
      </c>
      <c r="Q9" s="16" t="n">
        <f aca="false">MAX(0,Q7*가정!$B$8*(1-가정!$B$9))</f>
        <v>195.694293503444</v>
      </c>
      <c r="R9" s="16" t="n">
        <f aca="false">MAX(0,R7*가정!$B$8*(1-가정!$B$9))</f>
        <v>211.423464698341</v>
      </c>
      <c r="S9" s="16" t="n">
        <f aca="false">MAX(0,S7*가정!$B$8*(1-가정!$B$9))</f>
        <v>226.680760757391</v>
      </c>
      <c r="T9" s="16" t="n">
        <f aca="false">MAX(0,T7*가정!$B$8*(1-가정!$B$9))</f>
        <v>241.480337934669</v>
      </c>
      <c r="U9" s="16" t="n">
        <f aca="false">MAX(0,U7*가정!$B$8*(1-가정!$B$9))</f>
        <v>255.835927796629</v>
      </c>
      <c r="V9" s="16" t="n">
        <f aca="false">MAX(0,V7*가정!$B$8*(1-가정!$B$9))</f>
        <v>269.76084996273</v>
      </c>
      <c r="W9" s="16" t="n">
        <f aca="false">MAX(0,W7*가정!$B$8*(1-가정!$B$9))</f>
        <v>283.268024463848</v>
      </c>
      <c r="X9" s="16" t="n">
        <f aca="false">MAX(0,X7*가정!$B$8*(1-가정!$B$9))</f>
        <v>296.369983729933</v>
      </c>
      <c r="Y9" s="16" t="n">
        <f aca="false">MAX(0,Y7*가정!$B$8*(1-가정!$B$9))</f>
        <v>309.078884218035</v>
      </c>
    </row>
    <row r="10" customFormat="false" ht="15" hidden="false" customHeight="false" outlineLevel="0" collapsed="false">
      <c r="A10" s="21" t="s">
        <v>64</v>
      </c>
      <c r="B10" s="16" t="n">
        <f aca="false">B7*가정!$B$8*가정!$B$9</f>
        <v>0.9</v>
      </c>
      <c r="C10" s="16" t="n">
        <f aca="false">C7*가정!$B$8*가정!$B$9</f>
        <v>1.773</v>
      </c>
      <c r="D10" s="16" t="n">
        <f aca="false">D7*가정!$B$8*가정!$B$9</f>
        <v>2.61981</v>
      </c>
      <c r="E10" s="16" t="n">
        <f aca="false">E7*가정!$B$8*가정!$B$9</f>
        <v>3.4412157</v>
      </c>
      <c r="F10" s="16" t="n">
        <f aca="false">F7*가정!$B$8*가정!$B$9</f>
        <v>4.237979229</v>
      </c>
      <c r="G10" s="16" t="n">
        <f aca="false">G7*가정!$B$8*가정!$B$9</f>
        <v>5.01083985213</v>
      </c>
      <c r="H10" s="16" t="n">
        <f aca="false">H7*가정!$B$8*가정!$B$9</f>
        <v>6.6605146565661</v>
      </c>
      <c r="I10" s="16" t="n">
        <f aca="false">I7*가정!$B$8*가정!$B$9</f>
        <v>8.26069921686912</v>
      </c>
      <c r="J10" s="16" t="n">
        <f aca="false">J7*가정!$B$8*가정!$B$9</f>
        <v>9.81287824036304</v>
      </c>
      <c r="K10" s="16" t="n">
        <f aca="false">K7*가정!$B$8*가정!$B$9</f>
        <v>11.3184918931522</v>
      </c>
      <c r="L10" s="16" t="n">
        <f aca="false">L7*가정!$B$8*가정!$B$9</f>
        <v>12.7789371363576</v>
      </c>
      <c r="M10" s="16" t="n">
        <f aca="false">M7*가정!$B$8*가정!$B$9</f>
        <v>14.1955690222669</v>
      </c>
      <c r="N10" s="16" t="n">
        <f aca="false">N7*가정!$B$8*가정!$B$9</f>
        <v>16.1697019515989</v>
      </c>
      <c r="O10" s="16" t="n">
        <f aca="false">O7*가정!$B$8*가정!$B$9</f>
        <v>18.0846108930509</v>
      </c>
      <c r="P10" s="16" t="n">
        <f aca="false">P7*가정!$B$8*가정!$B$9</f>
        <v>19.9420725662594</v>
      </c>
      <c r="Q10" s="16" t="n">
        <f aca="false">Q7*가정!$B$8*가정!$B$9</f>
        <v>21.7438103892716</v>
      </c>
      <c r="R10" s="16" t="n">
        <f aca="false">R7*가정!$B$8*가정!$B$9</f>
        <v>23.4914960775934</v>
      </c>
      <c r="S10" s="16" t="n">
        <f aca="false">S7*가정!$B$8*가정!$B$9</f>
        <v>25.1867511952656</v>
      </c>
      <c r="T10" s="16" t="n">
        <f aca="false">T7*가정!$B$8*가정!$B$9</f>
        <v>26.8311486594077</v>
      </c>
      <c r="U10" s="16" t="n">
        <f aca="false">U7*가정!$B$8*가정!$B$9</f>
        <v>28.4262141996254</v>
      </c>
      <c r="V10" s="16" t="n">
        <f aca="false">V7*가정!$B$8*가정!$B$9</f>
        <v>29.9734277736367</v>
      </c>
      <c r="W10" s="16" t="n">
        <f aca="false">W7*가정!$B$8*가정!$B$9</f>
        <v>31.4742249404276</v>
      </c>
      <c r="X10" s="16" t="n">
        <f aca="false">X7*가정!$B$8*가정!$B$9</f>
        <v>32.9299981922148</v>
      </c>
      <c r="Y10" s="16" t="n">
        <f aca="false">Y7*가정!$B$8*가정!$B$9</f>
        <v>34.3420982464483</v>
      </c>
    </row>
    <row r="11" customFormat="false" ht="15" hidden="false" customHeight="false" outlineLevel="0" collapsed="false">
      <c r="A11" s="17" t="s">
        <v>65</v>
      </c>
      <c r="B11" s="16" t="n">
        <f aca="false">B7-B9-B10</f>
        <v>21</v>
      </c>
      <c r="C11" s="16" t="n">
        <f aca="false">C7-C9-C10</f>
        <v>41.37</v>
      </c>
      <c r="D11" s="16" t="n">
        <f aca="false">D7-D9-D10</f>
        <v>61.1289</v>
      </c>
      <c r="E11" s="16" t="n">
        <f aca="false">E7-E9-E10</f>
        <v>80.295033</v>
      </c>
      <c r="F11" s="16" t="n">
        <f aca="false">F7-F9-F10</f>
        <v>98.88618201</v>
      </c>
      <c r="G11" s="16" t="n">
        <f aca="false">G7-G9-G10</f>
        <v>116.9195965497</v>
      </c>
      <c r="H11" s="16" t="n">
        <f aca="false">H7-H9-H10</f>
        <v>155.412008653209</v>
      </c>
      <c r="I11" s="16" t="n">
        <f aca="false">I7-I9-I10</f>
        <v>192.749648393613</v>
      </c>
      <c r="J11" s="16" t="n">
        <f aca="false">J7-J9-J10</f>
        <v>228.967158941804</v>
      </c>
      <c r="K11" s="16" t="n">
        <f aca="false">K7-K9-K10</f>
        <v>264.09814417355</v>
      </c>
      <c r="L11" s="16" t="n">
        <f aca="false">L7-L9-L10</f>
        <v>298.175199848344</v>
      </c>
      <c r="M11" s="16" t="n">
        <f aca="false">M7-M9-M10</f>
        <v>331.229943852893</v>
      </c>
      <c r="N11" s="16" t="n">
        <f aca="false">N7-N9-N10</f>
        <v>377.293045537307</v>
      </c>
      <c r="O11" s="16" t="n">
        <f aca="false">O7-O9-O10</f>
        <v>421.974254171187</v>
      </c>
      <c r="P11" s="16" t="n">
        <f aca="false">P7-P9-P10</f>
        <v>465.315026546052</v>
      </c>
      <c r="Q11" s="16" t="n">
        <f aca="false">Q7-Q9-Q10</f>
        <v>507.35557574967</v>
      </c>
      <c r="R11" s="16" t="n">
        <f aca="false">R7-R9-R10</f>
        <v>548.13490847718</v>
      </c>
      <c r="S11" s="16" t="n">
        <f aca="false">S7-S9-S10</f>
        <v>587.690861222865</v>
      </c>
      <c r="T11" s="16" t="n">
        <f aca="false">T7-T9-T10</f>
        <v>626.060135386179</v>
      </c>
      <c r="U11" s="16" t="n">
        <f aca="false">U7-U9-U10</f>
        <v>663.278331324593</v>
      </c>
      <c r="V11" s="16" t="n">
        <f aca="false">V7-V9-V10</f>
        <v>699.379981384856</v>
      </c>
      <c r="W11" s="16" t="n">
        <f aca="false">W7-W9-W10</f>
        <v>734.39858194331</v>
      </c>
      <c r="X11" s="16" t="n">
        <f aca="false">X7-X9-X10</f>
        <v>768.366624485011</v>
      </c>
      <c r="Y11" s="16" t="n">
        <f aca="false">Y7-Y9-Y10</f>
        <v>801.31562575046</v>
      </c>
    </row>
    <row r="13" customFormat="false" ht="15" hidden="false" customHeight="false" outlineLevel="0" collapsed="false">
      <c r="A13" s="4" t="s">
        <v>66</v>
      </c>
      <c r="B13" s="22" t="n">
        <f aca="false">B9*가정!$B$11</f>
        <v>801900</v>
      </c>
      <c r="C13" s="22" t="n">
        <f aca="false">C9*가정!$B$11</f>
        <v>1579743</v>
      </c>
      <c r="D13" s="22" t="n">
        <f aca="false">D9*가정!$B$11</f>
        <v>2334250.71</v>
      </c>
      <c r="E13" s="22" t="n">
        <f aca="false">E9*가정!$B$11</f>
        <v>3066123.1887</v>
      </c>
      <c r="F13" s="22" t="n">
        <f aca="false">F9*가정!$B$11</f>
        <v>3776039.493039</v>
      </c>
      <c r="G13" s="22" t="n">
        <f aca="false">G9*가정!$B$11</f>
        <v>4464658.30824783</v>
      </c>
      <c r="H13" s="22" t="n">
        <f aca="false">H9*가정!$B$11</f>
        <v>5934518.5590004</v>
      </c>
      <c r="I13" s="22" t="n">
        <f aca="false">I9*가정!$B$11</f>
        <v>7360283.00223038</v>
      </c>
      <c r="J13" s="22" t="n">
        <f aca="false">J9*가정!$B$11</f>
        <v>8743274.51216347</v>
      </c>
      <c r="K13" s="22" t="n">
        <f aca="false">K9*가정!$B$11</f>
        <v>10084776.2767986</v>
      </c>
      <c r="L13" s="22" t="n">
        <f aca="false">L9*가정!$B$11</f>
        <v>11386032.9884946</v>
      </c>
      <c r="M13" s="22" t="n">
        <f aca="false">M9*가정!$B$11</f>
        <v>12648251.9988398</v>
      </c>
      <c r="N13" s="22" t="n">
        <f aca="false">N9*가정!$B$11</f>
        <v>14407204.4388746</v>
      </c>
      <c r="O13" s="22" t="n">
        <f aca="false">O9*가정!$B$11</f>
        <v>16113388.3057083</v>
      </c>
      <c r="P13" s="22" t="n">
        <f aca="false">P9*가정!$B$11</f>
        <v>17768386.6565371</v>
      </c>
      <c r="Q13" s="22" t="n">
        <f aca="false">Q9*가정!$B$11</f>
        <v>19373735.056841</v>
      </c>
      <c r="R13" s="22" t="n">
        <f aca="false">R9*가정!$B$11</f>
        <v>20930923.0051358</v>
      </c>
      <c r="S13" s="22" t="n">
        <f aca="false">S9*가정!$B$11</f>
        <v>22441395.3149817</v>
      </c>
      <c r="T13" s="22" t="n">
        <f aca="false">T9*가정!$B$11</f>
        <v>23906553.4555322</v>
      </c>
      <c r="U13" s="22" t="n">
        <f aca="false">U9*가정!$B$11</f>
        <v>25327756.8518663</v>
      </c>
      <c r="V13" s="22" t="n">
        <f aca="false">V9*가정!$B$11</f>
        <v>26706324.1463103</v>
      </c>
      <c r="W13" s="22" t="n">
        <f aca="false">W9*가정!$B$11</f>
        <v>28043534.421921</v>
      </c>
      <c r="X13" s="22" t="n">
        <f aca="false">X9*가정!$B$11</f>
        <v>29340628.3892633</v>
      </c>
      <c r="Y13" s="22" t="n">
        <f aca="false">Y9*가정!$B$11</f>
        <v>30598809.5375854</v>
      </c>
    </row>
    <row r="14" customFormat="false" ht="15" hidden="false" customHeight="false" outlineLevel="0" collapsed="false">
      <c r="A14" s="10" t="s">
        <v>67</v>
      </c>
      <c r="B14" s="22" t="n">
        <f aca="false">B10*가정!$B$12</f>
        <v>269100</v>
      </c>
      <c r="C14" s="22" t="n">
        <f aca="false">C10*가정!$B$12</f>
        <v>530127</v>
      </c>
      <c r="D14" s="22" t="n">
        <f aca="false">D10*가정!$B$12</f>
        <v>783323.19</v>
      </c>
      <c r="E14" s="22" t="n">
        <f aca="false">E10*가정!$B$12</f>
        <v>1028923.4943</v>
      </c>
      <c r="F14" s="22" t="n">
        <f aca="false">F10*가정!$B$12</f>
        <v>1267155.789471</v>
      </c>
      <c r="G14" s="22" t="n">
        <f aca="false">G10*가정!$B$12</f>
        <v>1498241.11578687</v>
      </c>
      <c r="H14" s="22" t="n">
        <f aca="false">H10*가정!$B$12</f>
        <v>1991493.88231326</v>
      </c>
      <c r="I14" s="22" t="n">
        <f aca="false">I10*가정!$B$12</f>
        <v>2469949.06584387</v>
      </c>
      <c r="J14" s="22" t="n">
        <f aca="false">J10*가정!$B$12</f>
        <v>2934050.59386855</v>
      </c>
      <c r="K14" s="22" t="n">
        <f aca="false">K10*가정!$B$12</f>
        <v>3384229.07605249</v>
      </c>
      <c r="L14" s="22" t="n">
        <f aca="false">L10*가정!$B$12</f>
        <v>3820902.20377092</v>
      </c>
      <c r="M14" s="22" t="n">
        <f aca="false">M10*가정!$B$12</f>
        <v>4244475.13765779</v>
      </c>
      <c r="N14" s="22" t="n">
        <f aca="false">N10*가정!$B$12</f>
        <v>4834740.88352806</v>
      </c>
      <c r="O14" s="22" t="n">
        <f aca="false">O10*가정!$B$12</f>
        <v>5407298.65702222</v>
      </c>
      <c r="P14" s="22" t="n">
        <f aca="false">P10*가정!$B$12</f>
        <v>5962679.69731155</v>
      </c>
      <c r="Q14" s="22" t="n">
        <f aca="false">Q10*가정!$B$12</f>
        <v>6501399.3063922</v>
      </c>
      <c r="R14" s="22" t="n">
        <f aca="false">R10*가정!$B$12</f>
        <v>7023957.32720044</v>
      </c>
      <c r="S14" s="22" t="n">
        <f aca="false">S10*가정!$B$12</f>
        <v>7530838.60738442</v>
      </c>
      <c r="T14" s="22" t="n">
        <f aca="false">T10*가정!$B$12</f>
        <v>8022513.44916289</v>
      </c>
      <c r="U14" s="22" t="n">
        <f aca="false">U10*가정!$B$12</f>
        <v>8499438.045688</v>
      </c>
      <c r="V14" s="22" t="n">
        <f aca="false">V10*가정!$B$12</f>
        <v>8962054.90431736</v>
      </c>
      <c r="W14" s="22" t="n">
        <f aca="false">W10*가정!$B$12</f>
        <v>9410793.25718784</v>
      </c>
      <c r="X14" s="22" t="n">
        <f aca="false">X10*가정!$B$12</f>
        <v>9846069.45947221</v>
      </c>
      <c r="Y14" s="22" t="n">
        <f aca="false">Y10*가정!$B$12</f>
        <v>10268287.375688</v>
      </c>
    </row>
    <row r="15" customFormat="false" ht="15" hidden="false" customHeight="false" outlineLevel="0" collapsed="false">
      <c r="A15" s="4" t="s">
        <v>68</v>
      </c>
      <c r="B15" s="22" t="n">
        <f aca="false">(B9+B10)*가정!$B$13</f>
        <v>450000</v>
      </c>
      <c r="C15" s="22" t="n">
        <f aca="false">(C9+C10)*가정!$B$13</f>
        <v>886500</v>
      </c>
      <c r="D15" s="22" t="n">
        <f aca="false">(D9+D10)*가정!$B$13</f>
        <v>1309905</v>
      </c>
      <c r="E15" s="22" t="n">
        <f aca="false">(E9+E10)*가정!$B$13</f>
        <v>1720607.85</v>
      </c>
      <c r="F15" s="22" t="n">
        <f aca="false">(F9+F10)*가정!$B$13</f>
        <v>2118989.6145</v>
      </c>
      <c r="G15" s="22" t="n">
        <f aca="false">(G9+G10)*가정!$B$13</f>
        <v>2505419.926065</v>
      </c>
      <c r="H15" s="22" t="n">
        <f aca="false">(H9+H10)*가정!$B$13</f>
        <v>3330257.32828305</v>
      </c>
      <c r="I15" s="22" t="n">
        <f aca="false">(I9+I10)*가정!$B$13</f>
        <v>4130349.60843456</v>
      </c>
      <c r="J15" s="22" t="n">
        <f aca="false">(J9+J10)*가정!$B$13</f>
        <v>4906439.12018152</v>
      </c>
      <c r="K15" s="22" t="n">
        <f aca="false">(K9+K10)*가정!$B$13</f>
        <v>5659245.94657608</v>
      </c>
      <c r="L15" s="22" t="n">
        <f aca="false">(L9+L10)*가정!$B$13</f>
        <v>6389468.56817879</v>
      </c>
      <c r="M15" s="22" t="n">
        <f aca="false">(M9+M10)*가정!$B$13</f>
        <v>7097784.51113343</v>
      </c>
      <c r="N15" s="22" t="n">
        <f aca="false">(N9+N10)*가정!$B$13</f>
        <v>8084850.97579943</v>
      </c>
      <c r="O15" s="22" t="n">
        <f aca="false">(O9+O10)*가정!$B$13</f>
        <v>9042305.44652545</v>
      </c>
      <c r="P15" s="22" t="n">
        <f aca="false">(P9+P10)*가정!$B$13</f>
        <v>9971036.28312968</v>
      </c>
      <c r="Q15" s="22" t="n">
        <f aca="false">(Q9+Q10)*가정!$B$13</f>
        <v>10871905.1946358</v>
      </c>
      <c r="R15" s="22" t="n">
        <f aca="false">(R9+R10)*가정!$B$13</f>
        <v>11745748.0387967</v>
      </c>
      <c r="S15" s="22" t="n">
        <f aca="false">(S9+S10)*가정!$B$13</f>
        <v>12593375.5976328</v>
      </c>
      <c r="T15" s="22" t="n">
        <f aca="false">(T9+T10)*가정!$B$13</f>
        <v>13415574.3297038</v>
      </c>
      <c r="U15" s="22" t="n">
        <f aca="false">(U9+U10)*가정!$B$13</f>
        <v>14213107.0998127</v>
      </c>
      <c r="V15" s="22" t="n">
        <f aca="false">(V9+V10)*가정!$B$13</f>
        <v>14986713.8868183</v>
      </c>
      <c r="W15" s="22" t="n">
        <f aca="false">(W9+W10)*가정!$B$13</f>
        <v>15737112.4702138</v>
      </c>
      <c r="X15" s="22" t="n">
        <f aca="false">(X9+X10)*가정!$B$13</f>
        <v>16464999.0961074</v>
      </c>
      <c r="Y15" s="22" t="n">
        <f aca="false">(Y9+Y10)*가정!$B$13</f>
        <v>17171049.1232241</v>
      </c>
    </row>
    <row r="16" customFormat="false" ht="15" hidden="false" customHeight="false" outlineLevel="0" collapsed="false">
      <c r="A16" s="18" t="s">
        <v>69</v>
      </c>
      <c r="B16" s="23" t="n">
        <f aca="false">SUM(B13:B15)</f>
        <v>1521000</v>
      </c>
      <c r="C16" s="23" t="n">
        <f aca="false">SUM(C13:C15)</f>
        <v>2996370</v>
      </c>
      <c r="D16" s="23" t="n">
        <f aca="false">SUM(D13:D15)</f>
        <v>4427478.9</v>
      </c>
      <c r="E16" s="23" t="n">
        <f aca="false">SUM(E13:E15)</f>
        <v>5815654.533</v>
      </c>
      <c r="F16" s="23" t="n">
        <f aca="false">SUM(F13:F15)</f>
        <v>7162184.89701</v>
      </c>
      <c r="G16" s="23" t="n">
        <f aca="false">SUM(G13:G15)</f>
        <v>8468319.3500997</v>
      </c>
      <c r="H16" s="23" t="n">
        <f aca="false">SUM(H13:H15)</f>
        <v>11256269.7695967</v>
      </c>
      <c r="I16" s="23" t="n">
        <f aca="false">SUM(I13:I15)</f>
        <v>13960581.6765088</v>
      </c>
      <c r="J16" s="23" t="n">
        <f aca="false">SUM(J13:J15)</f>
        <v>16583764.2262135</v>
      </c>
      <c r="K16" s="23" t="n">
        <f aca="false">SUM(K13:K15)</f>
        <v>19128251.2994271</v>
      </c>
      <c r="L16" s="23" t="n">
        <f aca="false">SUM(L13:L15)</f>
        <v>21596403.7604443</v>
      </c>
      <c r="M16" s="23" t="n">
        <f aca="false">SUM(M13:M15)</f>
        <v>23990511.647631</v>
      </c>
      <c r="N16" s="23" t="n">
        <f aca="false">SUM(N13:N15)</f>
        <v>27326796.2982021</v>
      </c>
      <c r="O16" s="23" t="n">
        <f aca="false">SUM(O13:O15)</f>
        <v>30562992.409256</v>
      </c>
      <c r="P16" s="23" t="n">
        <f aca="false">SUM(P13:P15)</f>
        <v>33702102.6369783</v>
      </c>
      <c r="Q16" s="23" t="n">
        <f aca="false">SUM(Q13:Q15)</f>
        <v>36747039.557869</v>
      </c>
      <c r="R16" s="23" t="n">
        <f aca="false">SUM(R13:R15)</f>
        <v>39700628.3711329</v>
      </c>
      <c r="S16" s="23" t="n">
        <f aca="false">SUM(S13:S15)</f>
        <v>42565609.5199989</v>
      </c>
      <c r="T16" s="23" t="n">
        <f aca="false">SUM(T13:T15)</f>
        <v>45344641.2343989</v>
      </c>
      <c r="U16" s="23" t="n">
        <f aca="false">SUM(U13:U15)</f>
        <v>48040301.997367</v>
      </c>
      <c r="V16" s="23" t="n">
        <f aca="false">SUM(V13:V15)</f>
        <v>50655092.937446</v>
      </c>
      <c r="W16" s="23" t="n">
        <f aca="false">SUM(W13:W15)</f>
        <v>53191440.1493226</v>
      </c>
      <c r="X16" s="23" t="n">
        <f aca="false">SUM(X13:X15)</f>
        <v>55651696.9448429</v>
      </c>
      <c r="Y16" s="23" t="n">
        <f aca="false">SUM(Y13:Y15)</f>
        <v>58038146.0364976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5" min="2" style="0" width="11"/>
  </cols>
  <sheetData>
    <row r="1" customFormat="false" ht="21.6" hidden="false" customHeight="false" outlineLevel="0" collapsed="false">
      <c r="A1" s="11" t="s">
        <v>70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3" customFormat="false" ht="15" hidden="false" customHeight="false" outlineLevel="0" collapsed="false">
      <c r="A3" s="12" t="s">
        <v>34</v>
      </c>
      <c r="B3" s="13" t="s">
        <v>35</v>
      </c>
      <c r="C3" s="13" t="s">
        <v>36</v>
      </c>
      <c r="D3" s="13" t="s">
        <v>37</v>
      </c>
      <c r="E3" s="13" t="s">
        <v>38</v>
      </c>
      <c r="F3" s="13" t="s">
        <v>39</v>
      </c>
      <c r="G3" s="13" t="s">
        <v>40</v>
      </c>
      <c r="H3" s="13" t="s">
        <v>41</v>
      </c>
      <c r="I3" s="13" t="s">
        <v>42</v>
      </c>
      <c r="J3" s="13" t="s">
        <v>43</v>
      </c>
      <c r="K3" s="13" t="s">
        <v>44</v>
      </c>
      <c r="L3" s="13" t="s">
        <v>45</v>
      </c>
      <c r="M3" s="13" t="s">
        <v>46</v>
      </c>
      <c r="N3" s="13" t="s">
        <v>47</v>
      </c>
      <c r="O3" s="13" t="s">
        <v>48</v>
      </c>
      <c r="P3" s="13" t="s">
        <v>49</v>
      </c>
      <c r="Q3" s="13" t="s">
        <v>50</v>
      </c>
      <c r="R3" s="13" t="s">
        <v>51</v>
      </c>
      <c r="S3" s="13" t="s">
        <v>52</v>
      </c>
      <c r="T3" s="13" t="s">
        <v>53</v>
      </c>
      <c r="U3" s="13" t="s">
        <v>54</v>
      </c>
      <c r="V3" s="13" t="s">
        <v>55</v>
      </c>
      <c r="W3" s="13" t="s">
        <v>56</v>
      </c>
      <c r="X3" s="13" t="s">
        <v>57</v>
      </c>
      <c r="Y3" s="13" t="s">
        <v>58</v>
      </c>
    </row>
    <row r="4" customFormat="false" ht="15" hidden="false" customHeight="false" outlineLevel="0" collapsed="false">
      <c r="A4" s="14" t="s">
        <v>71</v>
      </c>
      <c r="B4" s="24" t="n">
        <f aca="false">가정!$B$16/3</f>
        <v>0.333333333333333</v>
      </c>
      <c r="C4" s="24" t="n">
        <f aca="false">가정!$B$16/3</f>
        <v>0.333333333333333</v>
      </c>
      <c r="D4" s="24" t="n">
        <f aca="false">가정!$B$16/3</f>
        <v>0.333333333333333</v>
      </c>
      <c r="E4" s="24" t="n">
        <f aca="false">가정!$B$16/3</f>
        <v>0.333333333333333</v>
      </c>
      <c r="F4" s="24" t="n">
        <f aca="false">가정!$B$16/3</f>
        <v>0.333333333333333</v>
      </c>
      <c r="G4" s="24" t="n">
        <f aca="false">가정!$B$16/3</f>
        <v>0.333333333333333</v>
      </c>
      <c r="H4" s="24" t="n">
        <f aca="false">가정!$B$17/3</f>
        <v>0.666666666666667</v>
      </c>
      <c r="I4" s="24" t="n">
        <f aca="false">가정!$B$17/3</f>
        <v>0.666666666666667</v>
      </c>
      <c r="J4" s="24" t="n">
        <f aca="false">가정!$B$17/3</f>
        <v>0.666666666666667</v>
      </c>
      <c r="K4" s="24" t="n">
        <f aca="false">가정!$B$17/3</f>
        <v>0.666666666666667</v>
      </c>
      <c r="L4" s="24" t="n">
        <f aca="false">가정!$B$17/3</f>
        <v>0.666666666666667</v>
      </c>
      <c r="M4" s="24" t="n">
        <f aca="false">가정!$B$17/3</f>
        <v>0.666666666666667</v>
      </c>
      <c r="N4" s="24" t="n">
        <f aca="false">가정!$B$18/3</f>
        <v>1</v>
      </c>
      <c r="O4" s="24" t="n">
        <f aca="false">가정!$B$18/3</f>
        <v>1</v>
      </c>
      <c r="P4" s="24" t="n">
        <f aca="false">가정!$B$18/3</f>
        <v>1</v>
      </c>
      <c r="Q4" s="24" t="n">
        <f aca="false">가정!$B$18/3</f>
        <v>1</v>
      </c>
      <c r="R4" s="24" t="n">
        <f aca="false">가정!$B$18/3</f>
        <v>1</v>
      </c>
      <c r="S4" s="24" t="n">
        <f aca="false">가정!$B$18/3</f>
        <v>1</v>
      </c>
      <c r="T4" s="24" t="n">
        <f aca="false">가정!$B$18/3</f>
        <v>1</v>
      </c>
      <c r="U4" s="24" t="n">
        <f aca="false">가정!$B$18/3</f>
        <v>1</v>
      </c>
      <c r="V4" s="24" t="n">
        <f aca="false">가정!$B$18/3</f>
        <v>1</v>
      </c>
      <c r="W4" s="24" t="n">
        <f aca="false">가정!$B$18/3</f>
        <v>1</v>
      </c>
      <c r="X4" s="24" t="n">
        <f aca="false">가정!$B$18/3</f>
        <v>1</v>
      </c>
      <c r="Y4" s="24" t="n">
        <f aca="false">가정!$B$18/3</f>
        <v>1</v>
      </c>
    </row>
    <row r="5" customFormat="false" ht="15" hidden="false" customHeight="false" outlineLevel="0" collapsed="false">
      <c r="A5" s="14" t="s">
        <v>72</v>
      </c>
      <c r="B5" s="25" t="n">
        <f aca="false">B4</f>
        <v>0.333333333333333</v>
      </c>
      <c r="C5" s="25" t="n">
        <f aca="false">B5+C4</f>
        <v>0.666666666666667</v>
      </c>
      <c r="D5" s="25" t="n">
        <f aca="false">C5+D4</f>
        <v>1</v>
      </c>
      <c r="E5" s="25" t="n">
        <f aca="false">D5+E4</f>
        <v>1.33333333333333</v>
      </c>
      <c r="F5" s="25" t="n">
        <f aca="false">E5+F4</f>
        <v>1.66666666666667</v>
      </c>
      <c r="G5" s="25" t="n">
        <f aca="false">F5+G4</f>
        <v>2</v>
      </c>
      <c r="H5" s="25" t="n">
        <f aca="false">G5+H4</f>
        <v>2.66666666666667</v>
      </c>
      <c r="I5" s="25" t="n">
        <f aca="false">H5+I4</f>
        <v>3.33333333333333</v>
      </c>
      <c r="J5" s="25" t="n">
        <f aca="false">I5+J4</f>
        <v>4</v>
      </c>
      <c r="K5" s="25" t="n">
        <f aca="false">J5+K4</f>
        <v>4.66666666666667</v>
      </c>
      <c r="L5" s="25" t="n">
        <f aca="false">K5+L4</f>
        <v>5.33333333333333</v>
      </c>
      <c r="M5" s="25" t="n">
        <f aca="false">L5+M4</f>
        <v>6</v>
      </c>
      <c r="N5" s="25" t="n">
        <f aca="false">M5+N4</f>
        <v>7</v>
      </c>
      <c r="O5" s="25" t="n">
        <f aca="false">N5+O4</f>
        <v>8</v>
      </c>
      <c r="P5" s="25" t="n">
        <f aca="false">O5+P4</f>
        <v>9</v>
      </c>
      <c r="Q5" s="25" t="n">
        <f aca="false">P5+Q4</f>
        <v>10</v>
      </c>
      <c r="R5" s="25" t="n">
        <f aca="false">Q5+R4</f>
        <v>11</v>
      </c>
      <c r="S5" s="25" t="n">
        <f aca="false">R5+S4</f>
        <v>12</v>
      </c>
      <c r="T5" s="25" t="n">
        <f aca="false">S5+T4</f>
        <v>13</v>
      </c>
      <c r="U5" s="25" t="n">
        <f aca="false">T5+U4</f>
        <v>14</v>
      </c>
      <c r="V5" s="25" t="n">
        <f aca="false">U5+V4</f>
        <v>15</v>
      </c>
      <c r="W5" s="25" t="n">
        <f aca="false">V5+W4</f>
        <v>16</v>
      </c>
      <c r="X5" s="25" t="n">
        <f aca="false">W5+X4</f>
        <v>17</v>
      </c>
      <c r="Y5" s="25" t="n">
        <f aca="false">X5+Y4</f>
        <v>18</v>
      </c>
    </row>
    <row r="6" customFormat="false" ht="15" hidden="false" customHeight="false" outlineLevel="0" collapsed="false">
      <c r="A6" s="17" t="s">
        <v>73</v>
      </c>
      <c r="B6" s="25" t="n">
        <f aca="false">0</f>
        <v>0</v>
      </c>
      <c r="C6" s="25" t="n">
        <f aca="false">B6+B7*가정!$B$20/3</f>
        <v>0.00555555555555556</v>
      </c>
      <c r="D6" s="25" t="n">
        <f aca="false">C6+C7*가정!$B$20/3</f>
        <v>0.0165740740740741</v>
      </c>
      <c r="E6" s="25" t="n">
        <f aca="false">D6+D7*가정!$B$20/3</f>
        <v>0.0329645061728395</v>
      </c>
      <c r="F6" s="25" t="n">
        <f aca="false">E6+E7*가정!$B$20/3</f>
        <v>0.0546373199588477</v>
      </c>
      <c r="G6" s="25" t="n">
        <f aca="false">F6+F7*가정!$B$20/3</f>
        <v>0.0815044757373114</v>
      </c>
      <c r="H6" s="25" t="n">
        <f aca="false">G6+G7*가정!$B$20/3</f>
        <v>0.11347940114169</v>
      </c>
      <c r="I6" s="25" t="n">
        <f aca="false">H6+H7*가정!$B$20/3</f>
        <v>0.156032522233772</v>
      </c>
      <c r="J6" s="25" t="n">
        <f aca="false">I6+I7*가정!$B$20/3</f>
        <v>0.208987535752099</v>
      </c>
      <c r="K6" s="25" t="n">
        <f aca="false">J6+J7*가정!$B$20/3</f>
        <v>0.272171076822897</v>
      </c>
      <c r="L6" s="25" t="n">
        <f aca="false">K6+K7*가정!$B$20/3</f>
        <v>0.34541266998696</v>
      </c>
      <c r="M6" s="25" t="n">
        <f aca="false">L6+L7*가정!$B$20/3</f>
        <v>0.428544681042733</v>
      </c>
      <c r="N6" s="25" t="n">
        <f aca="false">M6+M7*가정!$B$20/3</f>
        <v>0.52140226969202</v>
      </c>
      <c r="O6" s="25" t="n">
        <f aca="false">N6+N7*가정!$B$20/3</f>
        <v>0.629378898530487</v>
      </c>
      <c r="P6" s="25" t="n">
        <f aca="false">O6+O7*가정!$B$20/3</f>
        <v>0.752222583554979</v>
      </c>
      <c r="Q6" s="25" t="n">
        <f aca="false">P6+P7*가정!$B$20/3</f>
        <v>0.889685540495729</v>
      </c>
      <c r="R6" s="25" t="n">
        <f aca="false">Q6+Q7*가정!$B$20/3</f>
        <v>1.0415241148208</v>
      </c>
      <c r="S6" s="25" t="n">
        <f aca="false">R6+R7*가정!$B$20/3</f>
        <v>1.20749871290712</v>
      </c>
      <c r="T6" s="25" t="n">
        <f aca="false">S6+S7*가정!$B$20/3</f>
        <v>1.38737373435867</v>
      </c>
      <c r="U6" s="25" t="n">
        <f aca="false">T6+T7*가정!$B$20/3</f>
        <v>1.58091750545269</v>
      </c>
      <c r="V6" s="25" t="n">
        <f aca="false">U6+U7*가정!$B$20/3</f>
        <v>1.78790221369515</v>
      </c>
      <c r="W6" s="25" t="n">
        <f aca="false">V6+V7*가정!$B$20/3</f>
        <v>2.00810384346689</v>
      </c>
      <c r="X6" s="25" t="n">
        <f aca="false">W6+W7*가정!$B$20/3</f>
        <v>2.24130211274245</v>
      </c>
      <c r="Y6" s="25" t="n">
        <f aca="false">X6+X7*가정!$B$20/3</f>
        <v>2.4872804108634</v>
      </c>
    </row>
    <row r="7" customFormat="false" ht="15" hidden="false" customHeight="false" outlineLevel="0" collapsed="false">
      <c r="A7" s="18" t="s">
        <v>74</v>
      </c>
      <c r="B7" s="26" t="n">
        <f aca="false">B5-B6</f>
        <v>0.333333333333333</v>
      </c>
      <c r="C7" s="26" t="n">
        <f aca="false">C5-C6</f>
        <v>0.661111111111111</v>
      </c>
      <c r="D7" s="26" t="n">
        <f aca="false">D5-D6</f>
        <v>0.983425925925926</v>
      </c>
      <c r="E7" s="26" t="n">
        <f aca="false">E5-E6</f>
        <v>1.30036882716049</v>
      </c>
      <c r="F7" s="26" t="n">
        <f aca="false">F5-F6</f>
        <v>1.61202934670782</v>
      </c>
      <c r="G7" s="26" t="n">
        <f aca="false">G5-G6</f>
        <v>1.91849552426269</v>
      </c>
      <c r="H7" s="26" t="n">
        <f aca="false">H5-H6</f>
        <v>2.55318726552498</v>
      </c>
      <c r="I7" s="26" t="n">
        <f aca="false">I5-I6</f>
        <v>3.17730081109956</v>
      </c>
      <c r="J7" s="26" t="n">
        <f aca="false">J5-J6</f>
        <v>3.7910124642479</v>
      </c>
      <c r="K7" s="26" t="n">
        <f aca="false">K5-K6</f>
        <v>4.39449558984377</v>
      </c>
      <c r="L7" s="26" t="n">
        <f aca="false">L5-L6</f>
        <v>4.98792066334637</v>
      </c>
      <c r="M7" s="26" t="n">
        <f aca="false">M5-M6</f>
        <v>5.57145531895727</v>
      </c>
      <c r="N7" s="26" t="n">
        <f aca="false">N5-N6</f>
        <v>6.47859773030798</v>
      </c>
      <c r="O7" s="26" t="n">
        <f aca="false">O5-O6</f>
        <v>7.37062110146951</v>
      </c>
      <c r="P7" s="26" t="n">
        <f aca="false">P5-P6</f>
        <v>8.24777741644502</v>
      </c>
      <c r="Q7" s="26" t="n">
        <f aca="false">Q5-Q6</f>
        <v>9.11031445950427</v>
      </c>
      <c r="R7" s="26" t="n">
        <f aca="false">R5-R6</f>
        <v>9.9584758851792</v>
      </c>
      <c r="S7" s="26" t="n">
        <f aca="false">S5-S6</f>
        <v>10.7925012870929</v>
      </c>
      <c r="T7" s="26" t="n">
        <f aca="false">T5-T6</f>
        <v>11.6126262656413</v>
      </c>
      <c r="U7" s="26" t="n">
        <f aca="false">U5-U6</f>
        <v>12.4190824945473</v>
      </c>
      <c r="V7" s="26" t="n">
        <f aca="false">V5-V6</f>
        <v>13.2120977863049</v>
      </c>
      <c r="W7" s="26" t="n">
        <f aca="false">W5-W6</f>
        <v>13.9918961565331</v>
      </c>
      <c r="X7" s="26" t="n">
        <f aca="false">X5-X6</f>
        <v>14.7586978872576</v>
      </c>
      <c r="Y7" s="26" t="n">
        <f aca="false">Y5-Y6</f>
        <v>15.5127195891366</v>
      </c>
    </row>
    <row r="9" customFormat="false" ht="15" hidden="false" customHeight="false" outlineLevel="0" collapsed="false">
      <c r="A9" s="4" t="s">
        <v>75</v>
      </c>
      <c r="B9" s="22" t="n">
        <f aca="false">B7*가정!$B$19</f>
        <v>166666.666666667</v>
      </c>
      <c r="C9" s="22" t="n">
        <f aca="false">C7*가정!$B$19</f>
        <v>330555.555555556</v>
      </c>
      <c r="D9" s="22" t="n">
        <f aca="false">D7*가정!$B$19</f>
        <v>491712.962962963</v>
      </c>
      <c r="E9" s="22" t="n">
        <f aca="false">E7*가정!$B$19</f>
        <v>650184.413580247</v>
      </c>
      <c r="F9" s="22" t="n">
        <f aca="false">F7*가정!$B$19</f>
        <v>806014.673353909</v>
      </c>
      <c r="G9" s="22" t="n">
        <f aca="false">G7*가정!$B$19</f>
        <v>959247.762131344</v>
      </c>
      <c r="H9" s="22" t="n">
        <f aca="false">H7*가정!$B$19</f>
        <v>1276593.63276249</v>
      </c>
      <c r="I9" s="22" t="n">
        <f aca="false">I7*가정!$B$19</f>
        <v>1588650.40554978</v>
      </c>
      <c r="J9" s="22" t="n">
        <f aca="false">J7*가정!$B$19</f>
        <v>1895506.23212395</v>
      </c>
      <c r="K9" s="22" t="n">
        <f aca="false">K7*가정!$B$19</f>
        <v>2197247.79492189</v>
      </c>
      <c r="L9" s="22" t="n">
        <f aca="false">L7*가정!$B$19</f>
        <v>2493960.33167319</v>
      </c>
      <c r="M9" s="22" t="n">
        <f aca="false">M7*가정!$B$19</f>
        <v>2785727.65947863</v>
      </c>
      <c r="N9" s="22" t="n">
        <f aca="false">N7*가정!$B$19</f>
        <v>3239298.86515399</v>
      </c>
      <c r="O9" s="22" t="n">
        <f aca="false">O7*가정!$B$19</f>
        <v>3685310.55073476</v>
      </c>
      <c r="P9" s="22" t="n">
        <f aca="false">P7*가정!$B$19</f>
        <v>4123888.70822251</v>
      </c>
      <c r="Q9" s="22" t="n">
        <f aca="false">Q7*가정!$B$19</f>
        <v>4555157.22975213</v>
      </c>
      <c r="R9" s="22" t="n">
        <f aca="false">R7*가정!$B$19</f>
        <v>4979237.9425896</v>
      </c>
      <c r="S9" s="22" t="n">
        <f aca="false">S7*가정!$B$19</f>
        <v>5396250.64354644</v>
      </c>
      <c r="T9" s="22" t="n">
        <f aca="false">T7*가정!$B$19</f>
        <v>5806313.13282067</v>
      </c>
      <c r="U9" s="22" t="n">
        <f aca="false">U7*가정!$B$19</f>
        <v>6209541.24727366</v>
      </c>
      <c r="V9" s="22" t="n">
        <f aca="false">V7*가정!$B$19</f>
        <v>6606048.89315243</v>
      </c>
      <c r="W9" s="22" t="n">
        <f aca="false">W7*가정!$B$19</f>
        <v>6995948.07826655</v>
      </c>
      <c r="X9" s="22" t="n">
        <f aca="false">X7*가정!$B$19</f>
        <v>7379348.94362878</v>
      </c>
      <c r="Y9" s="22" t="n">
        <f aca="false">Y7*가정!$B$19</f>
        <v>7756359.7945683</v>
      </c>
    </row>
    <row r="10" customFormat="false" ht="15" hidden="false" customHeight="false" outlineLevel="0" collapsed="false">
      <c r="A10" s="4" t="s">
        <v>76</v>
      </c>
      <c r="B10" s="22" t="n">
        <f aca="false">B7*가정!$B$22/12*가정!$B$21</f>
        <v>104166.666666667</v>
      </c>
      <c r="C10" s="22" t="n">
        <f aca="false">C7*가정!$B$22/12*가정!$B$21</f>
        <v>206597.222222222</v>
      </c>
      <c r="D10" s="22" t="n">
        <f aca="false">D7*가정!$B$22/12*가정!$B$21</f>
        <v>307320.601851852</v>
      </c>
      <c r="E10" s="22" t="n">
        <f aca="false">E7*가정!$B$22/12*가정!$B$21</f>
        <v>406365.258487654</v>
      </c>
      <c r="F10" s="22" t="n">
        <f aca="false">F7*가정!$B$22/12*가정!$B$21</f>
        <v>503759.170846193</v>
      </c>
      <c r="G10" s="22" t="n">
        <f aca="false">G7*가정!$B$22/12*가정!$B$21</f>
        <v>599529.85133209</v>
      </c>
      <c r="H10" s="22" t="n">
        <f aca="false">H7*가정!$B$22/12*가정!$B$21</f>
        <v>797871.020476555</v>
      </c>
      <c r="I10" s="22" t="n">
        <f aca="false">I7*가정!$B$22/12*가정!$B$21</f>
        <v>992906.503468613</v>
      </c>
      <c r="J10" s="22" t="n">
        <f aca="false">J7*가정!$B$22/12*가정!$B$21</f>
        <v>1184691.39507747</v>
      </c>
      <c r="K10" s="22" t="n">
        <f aca="false">K7*가정!$B$22/12*가정!$B$21</f>
        <v>1373279.87182618</v>
      </c>
      <c r="L10" s="22" t="n">
        <f aca="false">L7*가정!$B$22/12*가정!$B$21</f>
        <v>1558725.20729574</v>
      </c>
      <c r="M10" s="22" t="n">
        <f aca="false">M7*가정!$B$22/12*가정!$B$21</f>
        <v>1741079.78717415</v>
      </c>
      <c r="N10" s="22" t="n">
        <f aca="false">N7*가정!$B$22/12*가정!$B$21</f>
        <v>2024561.79072124</v>
      </c>
      <c r="O10" s="22" t="n">
        <f aca="false">O7*가정!$B$22/12*가정!$B$21</f>
        <v>2303319.09420922</v>
      </c>
      <c r="P10" s="22" t="n">
        <f aca="false">P7*가정!$B$22/12*가정!$B$21</f>
        <v>2577430.44263907</v>
      </c>
      <c r="Q10" s="22" t="n">
        <f aca="false">Q7*가정!$B$22/12*가정!$B$21</f>
        <v>2846973.26859508</v>
      </c>
      <c r="R10" s="22" t="n">
        <f aca="false">R7*가정!$B$22/12*가정!$B$21</f>
        <v>3112023.7141185</v>
      </c>
      <c r="S10" s="22" t="n">
        <f aca="false">S7*가정!$B$22/12*가정!$B$21</f>
        <v>3372656.65221652</v>
      </c>
      <c r="T10" s="22" t="n">
        <f aca="false">T7*가정!$B$22/12*가정!$B$21</f>
        <v>3628945.70801292</v>
      </c>
      <c r="U10" s="22" t="n">
        <f aca="false">U7*가정!$B$22/12*가정!$B$21</f>
        <v>3880963.27954603</v>
      </c>
      <c r="V10" s="22" t="n">
        <f aca="false">V7*가정!$B$22/12*가정!$B$21</f>
        <v>4128780.55822027</v>
      </c>
      <c r="W10" s="22" t="n">
        <f aca="false">W7*가정!$B$22/12*가정!$B$21</f>
        <v>4372467.5489166</v>
      </c>
      <c r="X10" s="22" t="n">
        <f aca="false">X7*가정!$B$22/12*가정!$B$21</f>
        <v>4612093.08976799</v>
      </c>
      <c r="Y10" s="22" t="n">
        <f aca="false">Y7*가정!$B$22/12*가정!$B$21</f>
        <v>4847724.87160519</v>
      </c>
    </row>
    <row r="11" customFormat="false" ht="15" hidden="false" customHeight="false" outlineLevel="0" collapsed="false">
      <c r="A11" s="18" t="s">
        <v>77</v>
      </c>
      <c r="B11" s="23" t="n">
        <f aca="false">SUM(B9:B10)</f>
        <v>270833.333333333</v>
      </c>
      <c r="C11" s="23" t="n">
        <f aca="false">SUM(C9:C10)</f>
        <v>537152.777777778</v>
      </c>
      <c r="D11" s="23" t="n">
        <f aca="false">SUM(D9:D10)</f>
        <v>799033.564814815</v>
      </c>
      <c r="E11" s="23" t="n">
        <f aca="false">SUM(E9:E10)</f>
        <v>1056549.6720679</v>
      </c>
      <c r="F11" s="23" t="n">
        <f aca="false">SUM(F9:F10)</f>
        <v>1309773.8442001</v>
      </c>
      <c r="G11" s="23" t="n">
        <f aca="false">SUM(G9:G10)</f>
        <v>1558777.61346343</v>
      </c>
      <c r="H11" s="23" t="n">
        <f aca="false">SUM(H9:H10)</f>
        <v>2074464.65323904</v>
      </c>
      <c r="I11" s="23" t="n">
        <f aca="false">SUM(I9:I10)</f>
        <v>2581556.90901839</v>
      </c>
      <c r="J11" s="23" t="n">
        <f aca="false">SUM(J9:J10)</f>
        <v>3080197.62720142</v>
      </c>
      <c r="K11" s="23" t="n">
        <f aca="false">SUM(K9:K10)</f>
        <v>3570527.66674806</v>
      </c>
      <c r="L11" s="23" t="n">
        <f aca="false">SUM(L9:L10)</f>
        <v>4052685.53896893</v>
      </c>
      <c r="M11" s="23" t="n">
        <f aca="false">SUM(M9:M10)</f>
        <v>4526807.44665278</v>
      </c>
      <c r="N11" s="23" t="n">
        <f aca="false">SUM(N9:N10)</f>
        <v>5263860.65587523</v>
      </c>
      <c r="O11" s="23" t="n">
        <f aca="false">SUM(O9:O10)</f>
        <v>5988629.64494398</v>
      </c>
      <c r="P11" s="23" t="n">
        <f aca="false">SUM(P9:P10)</f>
        <v>6701319.15086158</v>
      </c>
      <c r="Q11" s="23" t="n">
        <f aca="false">SUM(Q9:Q10)</f>
        <v>7402130.49834722</v>
      </c>
      <c r="R11" s="23" t="n">
        <f aca="false">SUM(R9:R10)</f>
        <v>8091261.6567081</v>
      </c>
      <c r="S11" s="23" t="n">
        <f aca="false">SUM(S9:S10)</f>
        <v>8768907.29576296</v>
      </c>
      <c r="T11" s="23" t="n">
        <f aca="false">SUM(T9:T10)</f>
        <v>9435258.84083358</v>
      </c>
      <c r="U11" s="23" t="n">
        <f aca="false">SUM(U9:U10)</f>
        <v>10090504.5268197</v>
      </c>
      <c r="V11" s="23" t="n">
        <f aca="false">SUM(V9:V10)</f>
        <v>10734829.4513727</v>
      </c>
      <c r="W11" s="23" t="n">
        <f aca="false">SUM(W9:W10)</f>
        <v>11368415.6271832</v>
      </c>
      <c r="X11" s="23" t="n">
        <f aca="false">SUM(X9:X10)</f>
        <v>11991442.0333968</v>
      </c>
      <c r="Y11" s="23" t="n">
        <f aca="false">SUM(Y9:Y10)</f>
        <v>12604084.6661735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5" min="2" style="0" width="11"/>
  </cols>
  <sheetData>
    <row r="1" customFormat="false" ht="21.6" hidden="false" customHeight="false" outlineLevel="0" collapsed="false">
      <c r="A1" s="11" t="s">
        <v>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3" customFormat="false" ht="15" hidden="false" customHeight="false" outlineLevel="0" collapsed="false">
      <c r="A3" s="12" t="s">
        <v>34</v>
      </c>
      <c r="B3" s="13" t="s">
        <v>35</v>
      </c>
      <c r="C3" s="13" t="s">
        <v>36</v>
      </c>
      <c r="D3" s="13" t="s">
        <v>37</v>
      </c>
      <c r="E3" s="13" t="s">
        <v>38</v>
      </c>
      <c r="F3" s="13" t="s">
        <v>39</v>
      </c>
      <c r="G3" s="13" t="s">
        <v>40</v>
      </c>
      <c r="H3" s="13" t="s">
        <v>41</v>
      </c>
      <c r="I3" s="13" t="s">
        <v>42</v>
      </c>
      <c r="J3" s="13" t="s">
        <v>43</v>
      </c>
      <c r="K3" s="13" t="s">
        <v>44</v>
      </c>
      <c r="L3" s="13" t="s">
        <v>45</v>
      </c>
      <c r="M3" s="13" t="s">
        <v>46</v>
      </c>
      <c r="N3" s="13" t="s">
        <v>47</v>
      </c>
      <c r="O3" s="13" t="s">
        <v>48</v>
      </c>
      <c r="P3" s="13" t="s">
        <v>49</v>
      </c>
      <c r="Q3" s="13" t="s">
        <v>50</v>
      </c>
      <c r="R3" s="13" t="s">
        <v>51</v>
      </c>
      <c r="S3" s="13" t="s">
        <v>52</v>
      </c>
      <c r="T3" s="13" t="s">
        <v>53</v>
      </c>
      <c r="U3" s="13" t="s">
        <v>54</v>
      </c>
      <c r="V3" s="13" t="s">
        <v>55</v>
      </c>
      <c r="W3" s="13" t="s">
        <v>56</v>
      </c>
      <c r="X3" s="13" t="s">
        <v>57</v>
      </c>
      <c r="Y3" s="13" t="s">
        <v>58</v>
      </c>
    </row>
    <row r="4" customFormat="false" ht="15" hidden="false" customHeight="false" outlineLevel="0" collapsed="false">
      <c r="A4" s="27" t="s">
        <v>79</v>
      </c>
      <c r="B4" s="16" t="n">
        <f aca="false">가정!$B$25</f>
        <v>1000</v>
      </c>
      <c r="C4" s="16" t="n">
        <f aca="false">B4*(1+가정!$B$26)</f>
        <v>1500</v>
      </c>
      <c r="D4" s="16" t="n">
        <f aca="false">C4*(1+가정!$B$26)</f>
        <v>2250</v>
      </c>
      <c r="E4" s="16" t="n">
        <f aca="false">D4*(1+가정!$B$26)</f>
        <v>3375</v>
      </c>
      <c r="F4" s="16" t="n">
        <f aca="false">E4*(1+가정!$B$26)</f>
        <v>5062.5</v>
      </c>
      <c r="G4" s="16" t="n">
        <f aca="false">F4*(1+가정!$B$26)</f>
        <v>7593.75</v>
      </c>
      <c r="H4" s="16" t="n">
        <f aca="false">G4*(1+가정!$B$27)</f>
        <v>9492.1875</v>
      </c>
      <c r="I4" s="16" t="n">
        <f aca="false">H4*(1+가정!$B$27)</f>
        <v>11865.234375</v>
      </c>
      <c r="J4" s="16" t="n">
        <f aca="false">I4*(1+가정!$B$27)</f>
        <v>14831.54296875</v>
      </c>
      <c r="K4" s="16" t="n">
        <f aca="false">J4*(1+가정!$B$27)</f>
        <v>18539.4287109375</v>
      </c>
      <c r="L4" s="16" t="n">
        <f aca="false">K4*(1+가정!$B$27)</f>
        <v>23174.2858886719</v>
      </c>
      <c r="M4" s="16" t="n">
        <f aca="false">L4*(1+가정!$B$27)</f>
        <v>28967.8573608398</v>
      </c>
      <c r="N4" s="16" t="n">
        <f aca="false">M4*(1+가정!$B$28)</f>
        <v>33313.0359649658</v>
      </c>
      <c r="O4" s="16" t="n">
        <f aca="false">N4*(1+가정!$B$28)</f>
        <v>38309.9913597107</v>
      </c>
      <c r="P4" s="16" t="n">
        <f aca="false">O4*(1+가정!$B$28)</f>
        <v>44056.4900636673</v>
      </c>
      <c r="Q4" s="16" t="n">
        <f aca="false">P4*(1+가정!$B$28)</f>
        <v>50664.9635732174</v>
      </c>
      <c r="R4" s="16" t="n">
        <f aca="false">Q4*(1+가정!$B$28)</f>
        <v>58264.7081092</v>
      </c>
      <c r="S4" s="16" t="n">
        <f aca="false">R4*(1+가정!$B$28)</f>
        <v>67004.41432558</v>
      </c>
      <c r="T4" s="16" t="n">
        <f aca="false">S4*(1+가정!$B$28)</f>
        <v>77055.076474417</v>
      </c>
      <c r="U4" s="16" t="n">
        <f aca="false">T4*(1+가정!$B$28)</f>
        <v>88613.3379455795</v>
      </c>
      <c r="V4" s="16" t="n">
        <f aca="false">U4*(1+가정!$B$28)</f>
        <v>101905.338637416</v>
      </c>
      <c r="W4" s="16" t="n">
        <f aca="false">V4*(1+가정!$B$28)</f>
        <v>117191.139433029</v>
      </c>
      <c r="X4" s="16" t="n">
        <f aca="false">W4*(1+가정!$B$28)</f>
        <v>134769.810347983</v>
      </c>
      <c r="Y4" s="16" t="n">
        <f aca="false">X4*(1+가정!$B$28)</f>
        <v>154985.281900181</v>
      </c>
    </row>
    <row r="5" customFormat="false" ht="15" hidden="false" customHeight="false" outlineLevel="0" collapsed="false">
      <c r="A5" s="4" t="s">
        <v>80</v>
      </c>
      <c r="B5" s="16" t="n">
        <f aca="false">B4*가정!$B$29</f>
        <v>20</v>
      </c>
      <c r="C5" s="16" t="n">
        <f aca="false">C4*가정!$B$29</f>
        <v>30</v>
      </c>
      <c r="D5" s="16" t="n">
        <f aca="false">D4*가정!$B$29</f>
        <v>45</v>
      </c>
      <c r="E5" s="16" t="n">
        <f aca="false">E4*가정!$B$29</f>
        <v>67.5</v>
      </c>
      <c r="F5" s="16" t="n">
        <f aca="false">F4*가정!$B$29</f>
        <v>101.25</v>
      </c>
      <c r="G5" s="16" t="n">
        <f aca="false">G4*가정!$B$29</f>
        <v>151.875</v>
      </c>
      <c r="H5" s="16" t="n">
        <f aca="false">H4*가정!$B$29</f>
        <v>189.84375</v>
      </c>
      <c r="I5" s="16" t="n">
        <f aca="false">I4*가정!$B$29</f>
        <v>237.3046875</v>
      </c>
      <c r="J5" s="16" t="n">
        <f aca="false">J4*가정!$B$29</f>
        <v>296.630859375</v>
      </c>
      <c r="K5" s="16" t="n">
        <f aca="false">K4*가정!$B$29</f>
        <v>370.78857421875</v>
      </c>
      <c r="L5" s="16" t="n">
        <f aca="false">L4*가정!$B$29</f>
        <v>463.485717773438</v>
      </c>
      <c r="M5" s="16" t="n">
        <f aca="false">M4*가정!$B$29</f>
        <v>579.357147216797</v>
      </c>
      <c r="N5" s="16" t="n">
        <f aca="false">N4*가정!$B$29</f>
        <v>666.260719299316</v>
      </c>
      <c r="O5" s="16" t="n">
        <f aca="false">O4*가정!$B$29</f>
        <v>766.199827194214</v>
      </c>
      <c r="P5" s="16" t="n">
        <f aca="false">P4*가정!$B$29</f>
        <v>881.129801273346</v>
      </c>
      <c r="Q5" s="16" t="n">
        <f aca="false">Q4*가정!$B$29</f>
        <v>1013.29927146435</v>
      </c>
      <c r="R5" s="16" t="n">
        <f aca="false">R4*가정!$B$29</f>
        <v>1165.294162184</v>
      </c>
      <c r="S5" s="16" t="n">
        <f aca="false">S4*가정!$B$29</f>
        <v>1340.0882865116</v>
      </c>
      <c r="T5" s="16" t="n">
        <f aca="false">T4*가정!$B$29</f>
        <v>1541.10152948834</v>
      </c>
      <c r="U5" s="16" t="n">
        <f aca="false">U4*가정!$B$29</f>
        <v>1772.26675891159</v>
      </c>
      <c r="V5" s="16" t="n">
        <f aca="false">V4*가정!$B$29</f>
        <v>2038.10677274833</v>
      </c>
      <c r="W5" s="16" t="n">
        <f aca="false">W4*가정!$B$29</f>
        <v>2343.82278866058</v>
      </c>
      <c r="X5" s="16" t="n">
        <f aca="false">X4*가정!$B$29</f>
        <v>2695.39620695966</v>
      </c>
      <c r="Y5" s="16" t="n">
        <f aca="false">Y4*가정!$B$29</f>
        <v>3099.70563800361</v>
      </c>
    </row>
    <row r="6" customFormat="false" ht="15" hidden="false" customHeight="false" outlineLevel="0" collapsed="false">
      <c r="A6" s="18" t="s">
        <v>81</v>
      </c>
      <c r="B6" s="23" t="n">
        <f aca="false">B5*가정!$B$30</f>
        <v>98000</v>
      </c>
      <c r="C6" s="23" t="n">
        <f aca="false">C5*가정!$B$30</f>
        <v>147000</v>
      </c>
      <c r="D6" s="23" t="n">
        <f aca="false">D5*가정!$B$30</f>
        <v>220500</v>
      </c>
      <c r="E6" s="23" t="n">
        <f aca="false">E5*가정!$B$30</f>
        <v>330750</v>
      </c>
      <c r="F6" s="23" t="n">
        <f aca="false">F5*가정!$B$30</f>
        <v>496125</v>
      </c>
      <c r="G6" s="23" t="n">
        <f aca="false">G5*가정!$B$30</f>
        <v>744187.5</v>
      </c>
      <c r="H6" s="23" t="n">
        <f aca="false">H5*가정!$B$30</f>
        <v>930234.375</v>
      </c>
      <c r="I6" s="23" t="n">
        <f aca="false">I5*가정!$B$30</f>
        <v>1162792.96875</v>
      </c>
      <c r="J6" s="23" t="n">
        <f aca="false">J5*가정!$B$30</f>
        <v>1453491.2109375</v>
      </c>
      <c r="K6" s="23" t="n">
        <f aca="false">K5*가정!$B$30</f>
        <v>1816864.01367188</v>
      </c>
      <c r="L6" s="23" t="n">
        <f aca="false">L5*가정!$B$30</f>
        <v>2271080.01708984</v>
      </c>
      <c r="M6" s="23" t="n">
        <f aca="false">M5*가정!$B$30</f>
        <v>2838850.0213623</v>
      </c>
      <c r="N6" s="23" t="n">
        <f aca="false">N5*가정!$B$30</f>
        <v>3264677.52456665</v>
      </c>
      <c r="O6" s="23" t="n">
        <f aca="false">O5*가정!$B$30</f>
        <v>3754379.15325165</v>
      </c>
      <c r="P6" s="23" t="n">
        <f aca="false">P5*가정!$B$30</f>
        <v>4317536.0262394</v>
      </c>
      <c r="Q6" s="23" t="n">
        <f aca="false">Q5*가정!$B$30</f>
        <v>4965166.4301753</v>
      </c>
      <c r="R6" s="23" t="n">
        <f aca="false">R5*가정!$B$30</f>
        <v>5709941.3947016</v>
      </c>
      <c r="S6" s="23" t="n">
        <f aca="false">S5*가정!$B$30</f>
        <v>6566432.60390684</v>
      </c>
      <c r="T6" s="23" t="n">
        <f aca="false">T5*가정!$B$30</f>
        <v>7551397.49449286</v>
      </c>
      <c r="U6" s="23" t="n">
        <f aca="false">U5*가정!$B$30</f>
        <v>8684107.11866679</v>
      </c>
      <c r="V6" s="23" t="n">
        <f aca="false">V5*가정!$B$30</f>
        <v>9986723.18646681</v>
      </c>
      <c r="W6" s="23" t="n">
        <f aca="false">W5*가정!$B$30</f>
        <v>11484731.6644368</v>
      </c>
      <c r="X6" s="23" t="n">
        <f aca="false">X5*가정!$B$30</f>
        <v>13207441.4141024</v>
      </c>
      <c r="Y6" s="23" t="n">
        <f aca="false">Y5*가정!$B$30</f>
        <v>15188557.6262177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5" min="2" style="0" width="11"/>
  </cols>
  <sheetData>
    <row r="1" customFormat="false" ht="21.6" hidden="false" customHeight="false" outlineLevel="0" collapsed="false">
      <c r="A1" s="11" t="s">
        <v>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3" customFormat="false" ht="15" hidden="false" customHeight="false" outlineLevel="0" collapsed="false">
      <c r="A3" s="12" t="s">
        <v>83</v>
      </c>
      <c r="B3" s="13" t="s">
        <v>35</v>
      </c>
      <c r="C3" s="13" t="s">
        <v>36</v>
      </c>
      <c r="D3" s="13" t="s">
        <v>37</v>
      </c>
      <c r="E3" s="13" t="s">
        <v>38</v>
      </c>
      <c r="F3" s="13" t="s">
        <v>39</v>
      </c>
      <c r="G3" s="13" t="s">
        <v>40</v>
      </c>
      <c r="H3" s="13" t="s">
        <v>41</v>
      </c>
      <c r="I3" s="13" t="s">
        <v>42</v>
      </c>
      <c r="J3" s="13" t="s">
        <v>43</v>
      </c>
      <c r="K3" s="13" t="s">
        <v>44</v>
      </c>
      <c r="L3" s="13" t="s">
        <v>45</v>
      </c>
      <c r="M3" s="13" t="s">
        <v>46</v>
      </c>
      <c r="N3" s="13" t="s">
        <v>47</v>
      </c>
      <c r="O3" s="13" t="s">
        <v>48</v>
      </c>
      <c r="P3" s="13" t="s">
        <v>49</v>
      </c>
      <c r="Q3" s="13" t="s">
        <v>50</v>
      </c>
      <c r="R3" s="13" t="s">
        <v>51</v>
      </c>
      <c r="S3" s="13" t="s">
        <v>52</v>
      </c>
      <c r="T3" s="13" t="s">
        <v>53</v>
      </c>
      <c r="U3" s="13" t="s">
        <v>54</v>
      </c>
      <c r="V3" s="13" t="s">
        <v>55</v>
      </c>
      <c r="W3" s="13" t="s">
        <v>56</v>
      </c>
      <c r="X3" s="13" t="s">
        <v>57</v>
      </c>
      <c r="Y3" s="13" t="s">
        <v>58</v>
      </c>
    </row>
    <row r="4" customFormat="false" ht="15" hidden="false" customHeight="false" outlineLevel="0" collapsed="false">
      <c r="A4" s="4" t="s">
        <v>84</v>
      </c>
      <c r="B4" s="28" t="n">
        <f aca="false">'매장 매출'!B13</f>
        <v>801900</v>
      </c>
      <c r="C4" s="28" t="n">
        <f aca="false">'매장 매출'!C13</f>
        <v>1579743</v>
      </c>
      <c r="D4" s="28" t="n">
        <f aca="false">'매장 매출'!D13</f>
        <v>2334250.71</v>
      </c>
      <c r="E4" s="28" t="n">
        <f aca="false">'매장 매출'!E13</f>
        <v>3066123.1887</v>
      </c>
      <c r="F4" s="28" t="n">
        <f aca="false">'매장 매출'!F13</f>
        <v>3776039.493039</v>
      </c>
      <c r="G4" s="28" t="n">
        <f aca="false">'매장 매출'!G13</f>
        <v>4464658.30824783</v>
      </c>
      <c r="H4" s="28" t="n">
        <f aca="false">'매장 매출'!H13</f>
        <v>5934518.5590004</v>
      </c>
      <c r="I4" s="28" t="n">
        <f aca="false">'매장 매출'!I13</f>
        <v>7360283.00223038</v>
      </c>
      <c r="J4" s="28" t="n">
        <f aca="false">'매장 매출'!J13</f>
        <v>8743274.51216347</v>
      </c>
      <c r="K4" s="28" t="n">
        <f aca="false">'매장 매출'!K13</f>
        <v>10084776.2767986</v>
      </c>
      <c r="L4" s="28" t="n">
        <f aca="false">'매장 매출'!L13</f>
        <v>11386032.9884946</v>
      </c>
      <c r="M4" s="28" t="n">
        <f aca="false">'매장 매출'!M13</f>
        <v>12648251.9988398</v>
      </c>
      <c r="N4" s="28" t="n">
        <f aca="false">'매장 매출'!N13</f>
        <v>14407204.4388746</v>
      </c>
      <c r="O4" s="28" t="n">
        <f aca="false">'매장 매출'!O13</f>
        <v>16113388.3057083</v>
      </c>
      <c r="P4" s="28" t="n">
        <f aca="false">'매장 매출'!P13</f>
        <v>17768386.6565371</v>
      </c>
      <c r="Q4" s="28" t="n">
        <f aca="false">'매장 매출'!Q13</f>
        <v>19373735.056841</v>
      </c>
      <c r="R4" s="28" t="n">
        <f aca="false">'매장 매출'!R13</f>
        <v>20930923.0051358</v>
      </c>
      <c r="S4" s="28" t="n">
        <f aca="false">'매장 매출'!S13</f>
        <v>22441395.3149817</v>
      </c>
      <c r="T4" s="28" t="n">
        <f aca="false">'매장 매출'!T13</f>
        <v>23906553.4555322</v>
      </c>
      <c r="U4" s="28" t="n">
        <f aca="false">'매장 매출'!U13</f>
        <v>25327756.8518663</v>
      </c>
      <c r="V4" s="28" t="n">
        <f aca="false">'매장 매출'!V13</f>
        <v>26706324.1463103</v>
      </c>
      <c r="W4" s="28" t="n">
        <f aca="false">'매장 매출'!W13</f>
        <v>28043534.421921</v>
      </c>
      <c r="X4" s="28" t="n">
        <f aca="false">'매장 매출'!X13</f>
        <v>29340628.3892633</v>
      </c>
      <c r="Y4" s="28" t="n">
        <f aca="false">'매장 매출'!Y13</f>
        <v>30598809.5375854</v>
      </c>
    </row>
    <row r="5" customFormat="false" ht="15" hidden="false" customHeight="false" outlineLevel="0" collapsed="false">
      <c r="A5" s="4" t="s">
        <v>85</v>
      </c>
      <c r="B5" s="28" t="n">
        <f aca="false">'매장 매출'!B14</f>
        <v>269100</v>
      </c>
      <c r="C5" s="28" t="n">
        <f aca="false">'매장 매출'!C14</f>
        <v>530127</v>
      </c>
      <c r="D5" s="28" t="n">
        <f aca="false">'매장 매출'!D14</f>
        <v>783323.19</v>
      </c>
      <c r="E5" s="28" t="n">
        <f aca="false">'매장 매출'!E14</f>
        <v>1028923.4943</v>
      </c>
      <c r="F5" s="28" t="n">
        <f aca="false">'매장 매출'!F14</f>
        <v>1267155.789471</v>
      </c>
      <c r="G5" s="28" t="n">
        <f aca="false">'매장 매출'!G14</f>
        <v>1498241.11578687</v>
      </c>
      <c r="H5" s="28" t="n">
        <f aca="false">'매장 매출'!H14</f>
        <v>1991493.88231326</v>
      </c>
      <c r="I5" s="28" t="n">
        <f aca="false">'매장 매출'!I14</f>
        <v>2469949.06584387</v>
      </c>
      <c r="J5" s="28" t="n">
        <f aca="false">'매장 매출'!J14</f>
        <v>2934050.59386855</v>
      </c>
      <c r="K5" s="28" t="n">
        <f aca="false">'매장 매출'!K14</f>
        <v>3384229.07605249</v>
      </c>
      <c r="L5" s="28" t="n">
        <f aca="false">'매장 매출'!L14</f>
        <v>3820902.20377092</v>
      </c>
      <c r="M5" s="28" t="n">
        <f aca="false">'매장 매출'!M14</f>
        <v>4244475.13765779</v>
      </c>
      <c r="N5" s="28" t="n">
        <f aca="false">'매장 매출'!N14</f>
        <v>4834740.88352806</v>
      </c>
      <c r="O5" s="28" t="n">
        <f aca="false">'매장 매출'!O14</f>
        <v>5407298.65702222</v>
      </c>
      <c r="P5" s="28" t="n">
        <f aca="false">'매장 매출'!P14</f>
        <v>5962679.69731155</v>
      </c>
      <c r="Q5" s="28" t="n">
        <f aca="false">'매장 매출'!Q14</f>
        <v>6501399.3063922</v>
      </c>
      <c r="R5" s="28" t="n">
        <f aca="false">'매장 매출'!R14</f>
        <v>7023957.32720044</v>
      </c>
      <c r="S5" s="28" t="n">
        <f aca="false">'매장 매출'!S14</f>
        <v>7530838.60738442</v>
      </c>
      <c r="T5" s="28" t="n">
        <f aca="false">'매장 매출'!T14</f>
        <v>8022513.44916289</v>
      </c>
      <c r="U5" s="28" t="n">
        <f aca="false">'매장 매출'!U14</f>
        <v>8499438.045688</v>
      </c>
      <c r="V5" s="28" t="n">
        <f aca="false">'매장 매출'!V14</f>
        <v>8962054.90431736</v>
      </c>
      <c r="W5" s="28" t="n">
        <f aca="false">'매장 매출'!W14</f>
        <v>9410793.25718784</v>
      </c>
      <c r="X5" s="28" t="n">
        <f aca="false">'매장 매출'!X14</f>
        <v>9846069.45947221</v>
      </c>
      <c r="Y5" s="28" t="n">
        <f aca="false">'매장 매출'!Y14</f>
        <v>10268287.375688</v>
      </c>
    </row>
    <row r="6" customFormat="false" ht="15" hidden="false" customHeight="false" outlineLevel="0" collapsed="false">
      <c r="A6" s="4" t="s">
        <v>86</v>
      </c>
      <c r="B6" s="28" t="n">
        <f aca="false">'매장 매출'!B15</f>
        <v>450000</v>
      </c>
      <c r="C6" s="28" t="n">
        <f aca="false">'매장 매출'!C15</f>
        <v>886500</v>
      </c>
      <c r="D6" s="28" t="n">
        <f aca="false">'매장 매출'!D15</f>
        <v>1309905</v>
      </c>
      <c r="E6" s="28" t="n">
        <f aca="false">'매장 매출'!E15</f>
        <v>1720607.85</v>
      </c>
      <c r="F6" s="28" t="n">
        <f aca="false">'매장 매출'!F15</f>
        <v>2118989.6145</v>
      </c>
      <c r="G6" s="28" t="n">
        <f aca="false">'매장 매출'!G15</f>
        <v>2505419.926065</v>
      </c>
      <c r="H6" s="28" t="n">
        <f aca="false">'매장 매출'!H15</f>
        <v>3330257.32828305</v>
      </c>
      <c r="I6" s="28" t="n">
        <f aca="false">'매장 매출'!I15</f>
        <v>4130349.60843456</v>
      </c>
      <c r="J6" s="28" t="n">
        <f aca="false">'매장 매출'!J15</f>
        <v>4906439.12018152</v>
      </c>
      <c r="K6" s="28" t="n">
        <f aca="false">'매장 매출'!K15</f>
        <v>5659245.94657608</v>
      </c>
      <c r="L6" s="28" t="n">
        <f aca="false">'매장 매출'!L15</f>
        <v>6389468.56817879</v>
      </c>
      <c r="M6" s="28" t="n">
        <f aca="false">'매장 매출'!M15</f>
        <v>7097784.51113343</v>
      </c>
      <c r="N6" s="28" t="n">
        <f aca="false">'매장 매출'!N15</f>
        <v>8084850.97579943</v>
      </c>
      <c r="O6" s="28" t="n">
        <f aca="false">'매장 매출'!O15</f>
        <v>9042305.44652545</v>
      </c>
      <c r="P6" s="28" t="n">
        <f aca="false">'매장 매출'!P15</f>
        <v>9971036.28312968</v>
      </c>
      <c r="Q6" s="28" t="n">
        <f aca="false">'매장 매출'!Q15</f>
        <v>10871905.1946358</v>
      </c>
      <c r="R6" s="28" t="n">
        <f aca="false">'매장 매출'!R15</f>
        <v>11745748.0387967</v>
      </c>
      <c r="S6" s="28" t="n">
        <f aca="false">'매장 매출'!S15</f>
        <v>12593375.5976328</v>
      </c>
      <c r="T6" s="28" t="n">
        <f aca="false">'매장 매출'!T15</f>
        <v>13415574.3297038</v>
      </c>
      <c r="U6" s="28" t="n">
        <f aca="false">'매장 매출'!U15</f>
        <v>14213107.0998127</v>
      </c>
      <c r="V6" s="28" t="n">
        <f aca="false">'매장 매출'!V15</f>
        <v>14986713.8868183</v>
      </c>
      <c r="W6" s="28" t="n">
        <f aca="false">'매장 매출'!W15</f>
        <v>15737112.4702138</v>
      </c>
      <c r="X6" s="28" t="n">
        <f aca="false">'매장 매출'!X15</f>
        <v>16464999.0961074</v>
      </c>
      <c r="Y6" s="28" t="n">
        <f aca="false">'매장 매출'!Y15</f>
        <v>17171049.1232241</v>
      </c>
    </row>
    <row r="7" customFormat="false" ht="15" hidden="false" customHeight="false" outlineLevel="0" collapsed="false">
      <c r="A7" s="4" t="s">
        <v>75</v>
      </c>
      <c r="B7" s="28" t="n">
        <f aca="false">'대회사 매출'!B9</f>
        <v>166666.666666667</v>
      </c>
      <c r="C7" s="28" t="n">
        <f aca="false">'대회사 매출'!C9</f>
        <v>330555.555555556</v>
      </c>
      <c r="D7" s="28" t="n">
        <f aca="false">'대회사 매출'!D9</f>
        <v>491712.962962963</v>
      </c>
      <c r="E7" s="28" t="n">
        <f aca="false">'대회사 매출'!E9</f>
        <v>650184.413580247</v>
      </c>
      <c r="F7" s="28" t="n">
        <f aca="false">'대회사 매출'!F9</f>
        <v>806014.673353909</v>
      </c>
      <c r="G7" s="28" t="n">
        <f aca="false">'대회사 매출'!G9</f>
        <v>959247.762131344</v>
      </c>
      <c r="H7" s="28" t="n">
        <f aca="false">'대회사 매출'!H9</f>
        <v>1276593.63276249</v>
      </c>
      <c r="I7" s="28" t="n">
        <f aca="false">'대회사 매출'!I9</f>
        <v>1588650.40554978</v>
      </c>
      <c r="J7" s="28" t="n">
        <f aca="false">'대회사 매출'!J9</f>
        <v>1895506.23212395</v>
      </c>
      <c r="K7" s="28" t="n">
        <f aca="false">'대회사 매출'!K9</f>
        <v>2197247.79492189</v>
      </c>
      <c r="L7" s="28" t="n">
        <f aca="false">'대회사 매출'!L9</f>
        <v>2493960.33167319</v>
      </c>
      <c r="M7" s="28" t="n">
        <f aca="false">'대회사 매출'!M9</f>
        <v>2785727.65947863</v>
      </c>
      <c r="N7" s="28" t="n">
        <f aca="false">'대회사 매출'!N9</f>
        <v>3239298.86515399</v>
      </c>
      <c r="O7" s="28" t="n">
        <f aca="false">'대회사 매출'!O9</f>
        <v>3685310.55073476</v>
      </c>
      <c r="P7" s="28" t="n">
        <f aca="false">'대회사 매출'!P9</f>
        <v>4123888.70822251</v>
      </c>
      <c r="Q7" s="28" t="n">
        <f aca="false">'대회사 매출'!Q9</f>
        <v>4555157.22975213</v>
      </c>
      <c r="R7" s="28" t="n">
        <f aca="false">'대회사 매출'!R9</f>
        <v>4979237.9425896</v>
      </c>
      <c r="S7" s="28" t="n">
        <f aca="false">'대회사 매출'!S9</f>
        <v>5396250.64354644</v>
      </c>
      <c r="T7" s="28" t="n">
        <f aca="false">'대회사 매출'!T9</f>
        <v>5806313.13282067</v>
      </c>
      <c r="U7" s="28" t="n">
        <f aca="false">'대회사 매출'!U9</f>
        <v>6209541.24727366</v>
      </c>
      <c r="V7" s="28" t="n">
        <f aca="false">'대회사 매출'!V9</f>
        <v>6606048.89315243</v>
      </c>
      <c r="W7" s="28" t="n">
        <f aca="false">'대회사 매출'!W9</f>
        <v>6995948.07826655</v>
      </c>
      <c r="X7" s="28" t="n">
        <f aca="false">'대회사 매출'!X9</f>
        <v>7379348.94362878</v>
      </c>
      <c r="Y7" s="28" t="n">
        <f aca="false">'대회사 매출'!Y9</f>
        <v>7756359.7945683</v>
      </c>
    </row>
    <row r="8" customFormat="false" ht="15" hidden="false" customHeight="false" outlineLevel="0" collapsed="false">
      <c r="A8" s="4" t="s">
        <v>87</v>
      </c>
      <c r="B8" s="28" t="n">
        <f aca="false">'대회사 매출'!B10</f>
        <v>104166.666666667</v>
      </c>
      <c r="C8" s="28" t="n">
        <f aca="false">'대회사 매출'!C10</f>
        <v>206597.222222222</v>
      </c>
      <c r="D8" s="28" t="n">
        <f aca="false">'대회사 매출'!D10</f>
        <v>307320.601851852</v>
      </c>
      <c r="E8" s="28" t="n">
        <f aca="false">'대회사 매출'!E10</f>
        <v>406365.258487654</v>
      </c>
      <c r="F8" s="28" t="n">
        <f aca="false">'대회사 매출'!F10</f>
        <v>503759.170846193</v>
      </c>
      <c r="G8" s="28" t="n">
        <f aca="false">'대회사 매출'!G10</f>
        <v>599529.85133209</v>
      </c>
      <c r="H8" s="28" t="n">
        <f aca="false">'대회사 매출'!H10</f>
        <v>797871.020476555</v>
      </c>
      <c r="I8" s="28" t="n">
        <f aca="false">'대회사 매출'!I10</f>
        <v>992906.503468613</v>
      </c>
      <c r="J8" s="28" t="n">
        <f aca="false">'대회사 매출'!J10</f>
        <v>1184691.39507747</v>
      </c>
      <c r="K8" s="28" t="n">
        <f aca="false">'대회사 매출'!K10</f>
        <v>1373279.87182618</v>
      </c>
      <c r="L8" s="28" t="n">
        <f aca="false">'대회사 매출'!L10</f>
        <v>1558725.20729574</v>
      </c>
      <c r="M8" s="28" t="n">
        <f aca="false">'대회사 매출'!M10</f>
        <v>1741079.78717415</v>
      </c>
      <c r="N8" s="28" t="n">
        <f aca="false">'대회사 매출'!N10</f>
        <v>2024561.79072124</v>
      </c>
      <c r="O8" s="28" t="n">
        <f aca="false">'대회사 매출'!O10</f>
        <v>2303319.09420922</v>
      </c>
      <c r="P8" s="28" t="n">
        <f aca="false">'대회사 매출'!P10</f>
        <v>2577430.44263907</v>
      </c>
      <c r="Q8" s="28" t="n">
        <f aca="false">'대회사 매출'!Q10</f>
        <v>2846973.26859508</v>
      </c>
      <c r="R8" s="28" t="n">
        <f aca="false">'대회사 매출'!R10</f>
        <v>3112023.7141185</v>
      </c>
      <c r="S8" s="28" t="n">
        <f aca="false">'대회사 매출'!S10</f>
        <v>3372656.65221652</v>
      </c>
      <c r="T8" s="28" t="n">
        <f aca="false">'대회사 매출'!T10</f>
        <v>3628945.70801292</v>
      </c>
      <c r="U8" s="28" t="n">
        <f aca="false">'대회사 매출'!U10</f>
        <v>3880963.27954603</v>
      </c>
      <c r="V8" s="28" t="n">
        <f aca="false">'대회사 매출'!V10</f>
        <v>4128780.55822027</v>
      </c>
      <c r="W8" s="28" t="n">
        <f aca="false">'대회사 매출'!W10</f>
        <v>4372467.5489166</v>
      </c>
      <c r="X8" s="28" t="n">
        <f aca="false">'대회사 매출'!X10</f>
        <v>4612093.08976799</v>
      </c>
      <c r="Y8" s="28" t="n">
        <f aca="false">'대회사 매출'!Y10</f>
        <v>4847724.87160519</v>
      </c>
    </row>
    <row r="9" customFormat="false" ht="15" hidden="false" customHeight="false" outlineLevel="0" collapsed="false">
      <c r="A9" s="4" t="s">
        <v>88</v>
      </c>
      <c r="B9" s="28" t="n">
        <f aca="false">'사용자 매출'!B6</f>
        <v>98000</v>
      </c>
      <c r="C9" s="28" t="n">
        <f aca="false">'사용자 매출'!C6</f>
        <v>147000</v>
      </c>
      <c r="D9" s="28" t="n">
        <f aca="false">'사용자 매출'!D6</f>
        <v>220500</v>
      </c>
      <c r="E9" s="28" t="n">
        <f aca="false">'사용자 매출'!E6</f>
        <v>330750</v>
      </c>
      <c r="F9" s="28" t="n">
        <f aca="false">'사용자 매출'!F6</f>
        <v>496125</v>
      </c>
      <c r="G9" s="28" t="n">
        <f aca="false">'사용자 매출'!G6</f>
        <v>744187.5</v>
      </c>
      <c r="H9" s="28" t="n">
        <f aca="false">'사용자 매출'!H6</f>
        <v>930234.375</v>
      </c>
      <c r="I9" s="28" t="n">
        <f aca="false">'사용자 매출'!I6</f>
        <v>1162792.96875</v>
      </c>
      <c r="J9" s="28" t="n">
        <f aca="false">'사용자 매출'!J6</f>
        <v>1453491.2109375</v>
      </c>
      <c r="K9" s="28" t="n">
        <f aca="false">'사용자 매출'!K6</f>
        <v>1816864.01367188</v>
      </c>
      <c r="L9" s="28" t="n">
        <f aca="false">'사용자 매출'!L6</f>
        <v>2271080.01708984</v>
      </c>
      <c r="M9" s="28" t="n">
        <f aca="false">'사용자 매출'!M6</f>
        <v>2838850.0213623</v>
      </c>
      <c r="N9" s="28" t="n">
        <f aca="false">'사용자 매출'!N6</f>
        <v>3264677.52456665</v>
      </c>
      <c r="O9" s="28" t="n">
        <f aca="false">'사용자 매출'!O6</f>
        <v>3754379.15325165</v>
      </c>
      <c r="P9" s="28" t="n">
        <f aca="false">'사용자 매출'!P6</f>
        <v>4317536.0262394</v>
      </c>
      <c r="Q9" s="28" t="n">
        <f aca="false">'사용자 매출'!Q6</f>
        <v>4965166.4301753</v>
      </c>
      <c r="R9" s="28" t="n">
        <f aca="false">'사용자 매출'!R6</f>
        <v>5709941.3947016</v>
      </c>
      <c r="S9" s="28" t="n">
        <f aca="false">'사용자 매출'!S6</f>
        <v>6566432.60390684</v>
      </c>
      <c r="T9" s="28" t="n">
        <f aca="false">'사용자 매출'!T6</f>
        <v>7551397.49449286</v>
      </c>
      <c r="U9" s="28" t="n">
        <f aca="false">'사용자 매출'!U6</f>
        <v>8684107.11866679</v>
      </c>
      <c r="V9" s="28" t="n">
        <f aca="false">'사용자 매출'!V6</f>
        <v>9986723.18646681</v>
      </c>
      <c r="W9" s="28" t="n">
        <f aca="false">'사용자 매출'!W6</f>
        <v>11484731.6644368</v>
      </c>
      <c r="X9" s="28" t="n">
        <f aca="false">'사용자 매출'!X6</f>
        <v>13207441.4141024</v>
      </c>
      <c r="Y9" s="28" t="n">
        <f aca="false">'사용자 매출'!Y6</f>
        <v>15188557.6262177</v>
      </c>
    </row>
    <row r="10" customFormat="false" ht="15" hidden="false" customHeight="false" outlineLevel="0" collapsed="false">
      <c r="A10" s="29" t="s">
        <v>89</v>
      </c>
      <c r="B10" s="30" t="n">
        <f aca="false">SUM(B4:B9)</f>
        <v>1889833.33333333</v>
      </c>
      <c r="C10" s="30" t="n">
        <f aca="false">SUM(C4:C9)</f>
        <v>3680522.77777778</v>
      </c>
      <c r="D10" s="30" t="n">
        <f aca="false">SUM(D4:D9)</f>
        <v>5447012.46481482</v>
      </c>
      <c r="E10" s="30" t="n">
        <f aca="false">SUM(E4:E9)</f>
        <v>7202954.2050679</v>
      </c>
      <c r="F10" s="30" t="n">
        <f aca="false">SUM(F4:F9)</f>
        <v>8968083.74121011</v>
      </c>
      <c r="G10" s="30" t="n">
        <f aca="false">SUM(G4:G9)</f>
        <v>10771284.4635631</v>
      </c>
      <c r="H10" s="30" t="n">
        <f aca="false">SUM(H4:H9)</f>
        <v>14260968.7978358</v>
      </c>
      <c r="I10" s="30" t="n">
        <f aca="false">SUM(I4:I9)</f>
        <v>17704931.5542772</v>
      </c>
      <c r="J10" s="30" t="n">
        <f aca="false">SUM(J4:J9)</f>
        <v>21117453.0643525</v>
      </c>
      <c r="K10" s="30" t="n">
        <f aca="false">SUM(K4:K9)</f>
        <v>24515642.9798471</v>
      </c>
      <c r="L10" s="30" t="n">
        <f aca="false">SUM(L4:L9)</f>
        <v>27920169.3165031</v>
      </c>
      <c r="M10" s="30" t="n">
        <f aca="false">SUM(M4:M9)</f>
        <v>31356169.1156461</v>
      </c>
      <c r="N10" s="30" t="n">
        <f aca="false">SUM(N4:N9)</f>
        <v>35855334.478644</v>
      </c>
      <c r="O10" s="30" t="n">
        <f aca="false">SUM(O4:O9)</f>
        <v>40306001.2074516</v>
      </c>
      <c r="P10" s="30" t="n">
        <f aca="false">SUM(P4:P9)</f>
        <v>44720957.8140793</v>
      </c>
      <c r="Q10" s="30" t="n">
        <f aca="false">SUM(Q4:Q9)</f>
        <v>49114336.4863915</v>
      </c>
      <c r="R10" s="30" t="n">
        <f aca="false">SUM(R4:R9)</f>
        <v>53501831.4225426</v>
      </c>
      <c r="S10" s="30" t="n">
        <f aca="false">SUM(S4:S9)</f>
        <v>57900949.4196687</v>
      </c>
      <c r="T10" s="30" t="n">
        <f aca="false">SUM(T4:T9)</f>
        <v>62331297.5697254</v>
      </c>
      <c r="U10" s="30" t="n">
        <f aca="false">SUM(U4:U9)</f>
        <v>66814913.6428535</v>
      </c>
      <c r="V10" s="30" t="n">
        <f aca="false">SUM(V4:V9)</f>
        <v>71376645.5752855</v>
      </c>
      <c r="W10" s="30" t="n">
        <f aca="false">SUM(W4:W9)</f>
        <v>76044587.4409426</v>
      </c>
      <c r="X10" s="30" t="n">
        <f aca="false">SUM(X4:X9)</f>
        <v>80850580.392342</v>
      </c>
      <c r="Y10" s="30" t="n">
        <f aca="false">SUM(Y4:Y9)</f>
        <v>85830788.3288888</v>
      </c>
    </row>
    <row r="12" customFormat="false" ht="15" hidden="false" customHeight="false" outlineLevel="0" collapsed="false">
      <c r="A12" s="3" t="s">
        <v>90</v>
      </c>
      <c r="B12" s="31" t="n">
        <f aca="false">B10</f>
        <v>1889833.33333333</v>
      </c>
      <c r="C12" s="31" t="n">
        <f aca="false">B12+C10</f>
        <v>5570356.11111111</v>
      </c>
      <c r="D12" s="31" t="n">
        <f aca="false">C12+D10</f>
        <v>11017368.5759259</v>
      </c>
      <c r="E12" s="31" t="n">
        <f aca="false">D12+E10</f>
        <v>18220322.7809938</v>
      </c>
      <c r="F12" s="31" t="n">
        <f aca="false">E12+F10</f>
        <v>27188406.5222039</v>
      </c>
      <c r="G12" s="31" t="n">
        <f aca="false">F12+G10</f>
        <v>37959690.9857671</v>
      </c>
      <c r="H12" s="31" t="n">
        <f aca="false">G12+H10</f>
        <v>52220659.7836028</v>
      </c>
      <c r="I12" s="31" t="n">
        <f aca="false">H12+I10</f>
        <v>69925591.33788</v>
      </c>
      <c r="J12" s="31" t="n">
        <f aca="false">I12+J10</f>
        <v>91043044.4022325</v>
      </c>
      <c r="K12" s="31" t="n">
        <f aca="false">J12+K10</f>
        <v>115558687.38208</v>
      </c>
      <c r="L12" s="31" t="n">
        <f aca="false">K12+L10</f>
        <v>143478856.698583</v>
      </c>
      <c r="M12" s="31" t="n">
        <f aca="false">L12+M10</f>
        <v>174835025.814229</v>
      </c>
      <c r="N12" s="31" t="n">
        <f aca="false">M12+N10</f>
        <v>210690360.292873</v>
      </c>
      <c r="O12" s="31" t="n">
        <f aca="false">N12+O10</f>
        <v>250996361.500324</v>
      </c>
      <c r="P12" s="31" t="n">
        <f aca="false">O12+P10</f>
        <v>295717319.314404</v>
      </c>
      <c r="Q12" s="31" t="n">
        <f aca="false">P12+Q10</f>
        <v>344831655.800795</v>
      </c>
      <c r="R12" s="31" t="n">
        <f aca="false">Q12+R10</f>
        <v>398333487.223338</v>
      </c>
      <c r="S12" s="31" t="n">
        <f aca="false">R12+S10</f>
        <v>456234436.643006</v>
      </c>
      <c r="T12" s="31" t="n">
        <f aca="false">S12+T10</f>
        <v>518565734.212732</v>
      </c>
      <c r="U12" s="31" t="n">
        <f aca="false">T12+U10</f>
        <v>585380647.855585</v>
      </c>
      <c r="V12" s="31" t="n">
        <f aca="false">U12+V10</f>
        <v>656757293.430871</v>
      </c>
      <c r="W12" s="31" t="n">
        <f aca="false">V12+W10</f>
        <v>732801880.871813</v>
      </c>
      <c r="X12" s="31" t="n">
        <f aca="false">W12+X10</f>
        <v>813652461.264155</v>
      </c>
      <c r="Y12" s="31" t="n">
        <f aca="false">X12+Y10</f>
        <v>899483249.593044</v>
      </c>
    </row>
    <row r="15" customFormat="false" ht="15" hidden="false" customHeight="false" outlineLevel="0" collapsed="false">
      <c r="A15" s="3" t="s">
        <v>91</v>
      </c>
    </row>
    <row r="17" customFormat="false" ht="15" hidden="false" customHeight="false" outlineLevel="0" collapsed="false">
      <c r="A17" s="10" t="s">
        <v>92</v>
      </c>
      <c r="B17" s="32" t="n">
        <f aca="false">SUM(B10:M10)</f>
        <v>174835025.814229</v>
      </c>
    </row>
    <row r="18" customFormat="false" ht="15" hidden="false" customHeight="false" outlineLevel="0" collapsed="false">
      <c r="A18" s="10" t="s">
        <v>93</v>
      </c>
      <c r="B18" s="32" t="n">
        <f aca="false">SUM(N10:Y10)</f>
        <v>724648223.778815</v>
      </c>
    </row>
    <row r="19" customFormat="false" ht="17.15" hidden="false" customHeight="false" outlineLevel="0" collapsed="false">
      <c r="A19" s="33" t="s">
        <v>94</v>
      </c>
      <c r="B19" s="34" t="n">
        <f aca="false">SUM(B10:Y10)</f>
        <v>899483249.593044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  <col collapsed="false" customWidth="true" hidden="false" outlineLevel="0" max="5" min="5" style="0" width="8"/>
  </cols>
  <sheetData>
    <row r="1" customFormat="false" ht="21.6" hidden="false" customHeight="false" outlineLevel="0" collapsed="false">
      <c r="A1" s="35" t="s">
        <v>95</v>
      </c>
      <c r="B1" s="35"/>
      <c r="C1" s="35"/>
      <c r="D1" s="35"/>
      <c r="E1" s="35"/>
    </row>
    <row r="2" customFormat="false" ht="15" hidden="false" customHeight="false" outlineLevel="0" collapsed="false">
      <c r="A2" s="2" t="s">
        <v>96</v>
      </c>
      <c r="B2" s="2"/>
      <c r="C2" s="2"/>
      <c r="D2" s="2"/>
      <c r="E2" s="2"/>
    </row>
    <row r="4" customFormat="false" ht="15" hidden="false" customHeight="false" outlineLevel="0" collapsed="false">
      <c r="A4" s="12" t="s">
        <v>97</v>
      </c>
      <c r="B4" s="12" t="s">
        <v>98</v>
      </c>
      <c r="C4" s="12" t="s">
        <v>99</v>
      </c>
      <c r="D4" s="12" t="s">
        <v>100</v>
      </c>
      <c r="E4" s="12" t="s">
        <v>101</v>
      </c>
    </row>
    <row r="5" customFormat="false" ht="15" hidden="false" customHeight="false" outlineLevel="0" collapsed="false">
      <c r="A5" s="36" t="s">
        <v>102</v>
      </c>
      <c r="B5" s="37" t="n">
        <v>20</v>
      </c>
      <c r="C5" s="37" t="n">
        <v>30</v>
      </c>
      <c r="D5" s="37" t="n">
        <v>50</v>
      </c>
      <c r="E5" s="38" t="s">
        <v>4</v>
      </c>
    </row>
    <row r="6" customFormat="false" ht="15" hidden="false" customHeight="false" outlineLevel="0" collapsed="false">
      <c r="A6" s="36" t="s">
        <v>103</v>
      </c>
      <c r="B6" s="37" t="n">
        <v>40</v>
      </c>
      <c r="C6" s="37" t="n">
        <v>60</v>
      </c>
      <c r="D6" s="37" t="n">
        <v>100</v>
      </c>
      <c r="E6" s="38" t="s">
        <v>4</v>
      </c>
    </row>
    <row r="7" customFormat="false" ht="15" hidden="false" customHeight="false" outlineLevel="0" collapsed="false">
      <c r="A7" s="36" t="s">
        <v>104</v>
      </c>
      <c r="B7" s="37" t="n">
        <v>50</v>
      </c>
      <c r="C7" s="37" t="n">
        <v>80</v>
      </c>
      <c r="D7" s="37" t="n">
        <v>150</v>
      </c>
      <c r="E7" s="38" t="s">
        <v>4</v>
      </c>
    </row>
    <row r="8" customFormat="false" ht="15" hidden="false" customHeight="false" outlineLevel="0" collapsed="false">
      <c r="A8" s="36" t="s">
        <v>105</v>
      </c>
      <c r="B8" s="37" t="s">
        <v>106</v>
      </c>
      <c r="C8" s="37" t="s">
        <v>107</v>
      </c>
      <c r="D8" s="37" t="s">
        <v>108</v>
      </c>
      <c r="E8" s="39" t="s">
        <v>8</v>
      </c>
    </row>
    <row r="9" customFormat="false" ht="15" hidden="false" customHeight="false" outlineLevel="0" collapsed="false">
      <c r="A9" s="40" t="s">
        <v>109</v>
      </c>
      <c r="B9" s="37" t="s">
        <v>110</v>
      </c>
      <c r="C9" s="37" t="s">
        <v>111</v>
      </c>
      <c r="D9" s="37" t="s">
        <v>112</v>
      </c>
      <c r="E9" s="39" t="s">
        <v>8</v>
      </c>
    </row>
    <row r="10" customFormat="false" ht="15" hidden="false" customHeight="false" outlineLevel="0" collapsed="false">
      <c r="A10" s="36" t="s">
        <v>10</v>
      </c>
      <c r="B10" s="37" t="s">
        <v>110</v>
      </c>
      <c r="C10" s="37" t="s">
        <v>113</v>
      </c>
      <c r="D10" s="37" t="s">
        <v>114</v>
      </c>
      <c r="E10" s="39" t="s">
        <v>8</v>
      </c>
    </row>
    <row r="11" customFormat="false" ht="15" hidden="false" customHeight="false" outlineLevel="0" collapsed="false">
      <c r="A11" s="36" t="s">
        <v>115</v>
      </c>
      <c r="B11" s="37" t="n">
        <v>0</v>
      </c>
      <c r="C11" s="37" t="n">
        <v>1</v>
      </c>
      <c r="D11" s="37" t="n">
        <v>2</v>
      </c>
      <c r="E11" s="38" t="s">
        <v>17</v>
      </c>
    </row>
    <row r="12" customFormat="false" ht="15" hidden="false" customHeight="false" outlineLevel="0" collapsed="false">
      <c r="A12" s="36" t="s">
        <v>116</v>
      </c>
      <c r="B12" s="37" t="n">
        <v>1</v>
      </c>
      <c r="C12" s="37" t="n">
        <v>2</v>
      </c>
      <c r="D12" s="37" t="n">
        <v>4</v>
      </c>
      <c r="E12" s="38" t="s">
        <v>17</v>
      </c>
    </row>
    <row r="13" customFormat="false" ht="15" hidden="false" customHeight="false" outlineLevel="0" collapsed="false">
      <c r="A13" s="36" t="s">
        <v>117</v>
      </c>
      <c r="B13" s="37" t="n">
        <v>2</v>
      </c>
      <c r="C13" s="37" t="n">
        <v>3</v>
      </c>
      <c r="D13" s="37" t="n">
        <v>6</v>
      </c>
      <c r="E13" s="38" t="s">
        <v>17</v>
      </c>
    </row>
    <row r="14" customFormat="false" ht="15" hidden="false" customHeight="false" outlineLevel="0" collapsed="false">
      <c r="A14" s="36" t="s">
        <v>118</v>
      </c>
      <c r="B14" s="37" t="n">
        <v>500</v>
      </c>
      <c r="C14" s="37" t="n">
        <v>1000</v>
      </c>
      <c r="D14" s="37" t="n">
        <v>2000</v>
      </c>
      <c r="E14" s="38" t="s">
        <v>26</v>
      </c>
    </row>
    <row r="15" customFormat="false" ht="15" hidden="false" customHeight="false" outlineLevel="0" collapsed="false">
      <c r="A15" s="36" t="s">
        <v>119</v>
      </c>
      <c r="B15" s="37" t="s">
        <v>107</v>
      </c>
      <c r="C15" s="37" t="s">
        <v>120</v>
      </c>
      <c r="D15" s="37" t="s">
        <v>121</v>
      </c>
      <c r="E15" s="39" t="s">
        <v>8</v>
      </c>
    </row>
    <row r="16" customFormat="false" ht="15" hidden="false" customHeight="false" outlineLevel="0" collapsed="false">
      <c r="A16" s="36" t="s">
        <v>30</v>
      </c>
      <c r="B16" s="37" t="s">
        <v>122</v>
      </c>
      <c r="C16" s="37" t="s">
        <v>114</v>
      </c>
      <c r="D16" s="37" t="s">
        <v>110</v>
      </c>
      <c r="E16" s="39" t="s">
        <v>8</v>
      </c>
    </row>
    <row r="18" customFormat="false" ht="17.15" hidden="false" customHeight="false" outlineLevel="0" collapsed="false">
      <c r="A18" s="3" t="s">
        <v>123</v>
      </c>
    </row>
    <row r="20" customFormat="false" ht="15" hidden="false" customHeight="false" outlineLevel="0" collapsed="false">
      <c r="A20" s="41" t="s">
        <v>124</v>
      </c>
      <c r="B20" s="42" t="s">
        <v>125</v>
      </c>
      <c r="C20" s="42" t="s">
        <v>126</v>
      </c>
      <c r="D20" s="42" t="s">
        <v>127</v>
      </c>
      <c r="E20" s="42"/>
    </row>
    <row r="21" customFormat="false" ht="15" hidden="false" customHeight="false" outlineLevel="0" collapsed="false">
      <c r="A21" s="41" t="s">
        <v>128</v>
      </c>
      <c r="B21" s="42" t="s">
        <v>127</v>
      </c>
      <c r="C21" s="42" t="s">
        <v>129</v>
      </c>
      <c r="D21" s="42" t="s">
        <v>130</v>
      </c>
      <c r="E21" s="42"/>
    </row>
    <row r="22" customFormat="false" ht="15" hidden="false" customHeight="false" outlineLevel="0" collapsed="false">
      <c r="A22" s="41" t="s">
        <v>131</v>
      </c>
      <c r="B22" s="42" t="s">
        <v>132</v>
      </c>
      <c r="C22" s="42" t="s">
        <v>133</v>
      </c>
      <c r="D22" s="42" t="s">
        <v>134</v>
      </c>
      <c r="E22" s="42"/>
    </row>
    <row r="23" customFormat="false" ht="15" hidden="false" customHeight="false" outlineLevel="0" collapsed="false">
      <c r="A23" s="43" t="s">
        <v>135</v>
      </c>
      <c r="B23" s="42" t="s">
        <v>136</v>
      </c>
      <c r="C23" s="42" t="s">
        <v>137</v>
      </c>
      <c r="D23" s="42" t="s">
        <v>138</v>
      </c>
      <c r="E23" s="42"/>
    </row>
    <row r="24" customFormat="false" ht="15" hidden="false" customHeight="false" outlineLevel="0" collapsed="false">
      <c r="A24" s="43" t="s">
        <v>139</v>
      </c>
      <c r="B24" s="42" t="s">
        <v>140</v>
      </c>
      <c r="C24" s="42" t="s">
        <v>141</v>
      </c>
      <c r="D24" s="42" t="s">
        <v>142</v>
      </c>
      <c r="E24" s="42"/>
    </row>
    <row r="25" customFormat="false" ht="15" hidden="false" customHeight="false" outlineLevel="0" collapsed="false">
      <c r="A25" s="41" t="s">
        <v>143</v>
      </c>
      <c r="B25" s="42" t="s">
        <v>144</v>
      </c>
      <c r="C25" s="42" t="s">
        <v>145</v>
      </c>
      <c r="D25" s="42" t="s">
        <v>146</v>
      </c>
      <c r="E25" s="42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1.6" hidden="false" customHeight="false" outlineLevel="0" collapsed="false">
      <c r="A1" s="11" t="s">
        <v>147</v>
      </c>
      <c r="B1" s="11"/>
      <c r="C1" s="11"/>
      <c r="D1" s="11"/>
      <c r="E1" s="11"/>
      <c r="F1" s="11"/>
    </row>
    <row r="3" customFormat="false" ht="17.15" hidden="false" customHeight="false" outlineLevel="0" collapsed="false">
      <c r="A3" s="3" t="s">
        <v>148</v>
      </c>
    </row>
    <row r="5" customFormat="false" ht="15" hidden="false" customHeight="false" outlineLevel="0" collapsed="false">
      <c r="A5" s="12" t="s">
        <v>105</v>
      </c>
      <c r="B5" s="12" t="s">
        <v>149</v>
      </c>
      <c r="C5" s="12" t="s">
        <v>150</v>
      </c>
      <c r="D5" s="12" t="s">
        <v>151</v>
      </c>
      <c r="E5" s="12" t="s">
        <v>152</v>
      </c>
      <c r="F5" s="12" t="s">
        <v>153</v>
      </c>
    </row>
    <row r="6" customFormat="false" ht="15" hidden="false" customHeight="false" outlineLevel="0" collapsed="false">
      <c r="A6" s="44" t="n">
        <v>0.15</v>
      </c>
      <c r="B6" s="42" t="s">
        <v>154</v>
      </c>
      <c r="C6" s="42" t="s">
        <v>155</v>
      </c>
      <c r="D6" s="45" t="s">
        <v>156</v>
      </c>
      <c r="E6" s="45" t="s">
        <v>157</v>
      </c>
      <c r="F6" s="45" t="s">
        <v>158</v>
      </c>
    </row>
    <row r="7" customFormat="false" ht="15" hidden="false" customHeight="false" outlineLevel="0" collapsed="false">
      <c r="A7" s="44" t="n">
        <v>0.2</v>
      </c>
      <c r="B7" s="42" t="s">
        <v>136</v>
      </c>
      <c r="C7" s="42" t="s">
        <v>159</v>
      </c>
      <c r="D7" s="45" t="s">
        <v>160</v>
      </c>
      <c r="E7" s="45" t="s">
        <v>161</v>
      </c>
      <c r="F7" s="45" t="s">
        <v>162</v>
      </c>
    </row>
    <row r="8" customFormat="false" ht="15" hidden="false" customHeight="false" outlineLevel="0" collapsed="false">
      <c r="A8" s="44" t="n">
        <v>0.3</v>
      </c>
      <c r="B8" s="42" t="s">
        <v>163</v>
      </c>
      <c r="C8" s="42" t="s">
        <v>164</v>
      </c>
      <c r="D8" s="45" t="s">
        <v>165</v>
      </c>
      <c r="E8" s="45" t="s">
        <v>166</v>
      </c>
      <c r="F8" s="45" t="s">
        <v>167</v>
      </c>
    </row>
    <row r="9" customFormat="false" ht="15" hidden="false" customHeight="false" outlineLevel="0" collapsed="false">
      <c r="A9" s="44" t="n">
        <v>0.4</v>
      </c>
      <c r="B9" s="42" t="s">
        <v>168</v>
      </c>
      <c r="C9" s="42" t="s">
        <v>169</v>
      </c>
      <c r="D9" s="45" t="s">
        <v>170</v>
      </c>
      <c r="E9" s="45" t="s">
        <v>171</v>
      </c>
      <c r="F9" s="45" t="s">
        <v>172</v>
      </c>
    </row>
    <row r="10" customFormat="false" ht="15" hidden="false" customHeight="false" outlineLevel="0" collapsed="false">
      <c r="A10" s="44" t="n">
        <v>0.5</v>
      </c>
      <c r="B10" s="42" t="s">
        <v>137</v>
      </c>
      <c r="C10" s="42" t="s">
        <v>173</v>
      </c>
      <c r="D10" s="45" t="s">
        <v>174</v>
      </c>
      <c r="E10" s="45" t="s">
        <v>175</v>
      </c>
      <c r="F10" s="45" t="s">
        <v>176</v>
      </c>
    </row>
    <row r="12" customFormat="false" ht="14.15" hidden="false" customHeight="false" outlineLevel="0" collapsed="false">
      <c r="A12" s="2" t="s">
        <v>177</v>
      </c>
      <c r="B12" s="2"/>
      <c r="C12" s="2"/>
      <c r="D12" s="2"/>
      <c r="E12" s="2"/>
      <c r="F12" s="2"/>
    </row>
    <row r="14" customFormat="false" ht="17.15" hidden="false" customHeight="false" outlineLevel="0" collapsed="false">
      <c r="A14" s="3" t="s">
        <v>178</v>
      </c>
    </row>
    <row r="16" customFormat="false" ht="15" hidden="false" customHeight="false" outlineLevel="0" collapsed="false">
      <c r="A16" s="12" t="s">
        <v>74</v>
      </c>
      <c r="B16" s="12" t="s">
        <v>179</v>
      </c>
      <c r="C16" s="12" t="s">
        <v>180</v>
      </c>
      <c r="D16" s="12" t="s">
        <v>181</v>
      </c>
      <c r="E16" s="12" t="s">
        <v>182</v>
      </c>
    </row>
    <row r="17" customFormat="false" ht="15" hidden="false" customHeight="false" outlineLevel="0" collapsed="false">
      <c r="A17" s="46" t="n">
        <v>3</v>
      </c>
      <c r="B17" s="45" t="s">
        <v>183</v>
      </c>
      <c r="C17" s="45" t="s">
        <v>184</v>
      </c>
      <c r="D17" s="45" t="s">
        <v>185</v>
      </c>
      <c r="E17" s="42" t="s">
        <v>186</v>
      </c>
    </row>
    <row r="18" customFormat="false" ht="15" hidden="false" customHeight="false" outlineLevel="0" collapsed="false">
      <c r="A18" s="46" t="n">
        <v>8</v>
      </c>
      <c r="B18" s="45" t="s">
        <v>187</v>
      </c>
      <c r="C18" s="45" t="s">
        <v>188</v>
      </c>
      <c r="D18" s="45" t="s">
        <v>189</v>
      </c>
      <c r="E18" s="42" t="s">
        <v>190</v>
      </c>
    </row>
    <row r="19" customFormat="false" ht="15" hidden="false" customHeight="false" outlineLevel="0" collapsed="false">
      <c r="A19" s="46" t="n">
        <v>15</v>
      </c>
      <c r="B19" s="45" t="s">
        <v>191</v>
      </c>
      <c r="C19" s="45" t="s">
        <v>192</v>
      </c>
      <c r="D19" s="45" t="s">
        <v>193</v>
      </c>
      <c r="E19" s="42" t="s">
        <v>194</v>
      </c>
    </row>
    <row r="20" customFormat="false" ht="15" hidden="false" customHeight="false" outlineLevel="0" collapsed="false">
      <c r="A20" s="46" t="n">
        <v>25</v>
      </c>
      <c r="B20" s="45" t="s">
        <v>195</v>
      </c>
      <c r="C20" s="45" t="s">
        <v>196</v>
      </c>
      <c r="D20" s="45" t="s">
        <v>197</v>
      </c>
      <c r="E20" s="42" t="s">
        <v>198</v>
      </c>
    </row>
    <row r="21" customFormat="false" ht="15" hidden="false" customHeight="false" outlineLevel="0" collapsed="false">
      <c r="A21" s="46" t="n">
        <v>40</v>
      </c>
      <c r="B21" s="45" t="s">
        <v>199</v>
      </c>
      <c r="C21" s="45" t="s">
        <v>195</v>
      </c>
      <c r="D21" s="45" t="s">
        <v>200</v>
      </c>
      <c r="E21" s="42" t="s">
        <v>201</v>
      </c>
    </row>
    <row r="23" customFormat="false" ht="14.15" hidden="false" customHeight="false" outlineLevel="0" collapsed="false">
      <c r="A23" s="2" t="s">
        <v>202</v>
      </c>
      <c r="B23" s="2"/>
      <c r="C23" s="2"/>
      <c r="D23" s="2"/>
      <c r="E23" s="2"/>
      <c r="F23" s="2"/>
    </row>
    <row r="25" customFormat="false" ht="17.15" hidden="false" customHeight="false" outlineLevel="0" collapsed="false">
      <c r="A25" s="3" t="s">
        <v>203</v>
      </c>
    </row>
    <row r="27" customFormat="false" ht="15" hidden="false" customHeight="false" outlineLevel="0" collapsed="false">
      <c r="A27" s="12" t="s">
        <v>204</v>
      </c>
      <c r="B27" s="13" t="s">
        <v>205</v>
      </c>
      <c r="C27" s="13" t="s">
        <v>206</v>
      </c>
      <c r="D27" s="13" t="s">
        <v>207</v>
      </c>
      <c r="E27" s="12" t="s">
        <v>208</v>
      </c>
    </row>
    <row r="28" customFormat="false" ht="15" hidden="false" customHeight="false" outlineLevel="0" collapsed="false">
      <c r="A28" s="44" t="n">
        <v>0.01</v>
      </c>
      <c r="B28" s="42" t="s">
        <v>209</v>
      </c>
      <c r="C28" s="42" t="s">
        <v>210</v>
      </c>
      <c r="D28" s="45" t="s">
        <v>211</v>
      </c>
      <c r="E28" s="42" t="s">
        <v>212</v>
      </c>
    </row>
    <row r="29" customFormat="false" ht="15" hidden="false" customHeight="false" outlineLevel="0" collapsed="false">
      <c r="A29" s="44" t="n">
        <v>0.02</v>
      </c>
      <c r="B29" s="42" t="s">
        <v>213</v>
      </c>
      <c r="C29" s="42" t="s">
        <v>214</v>
      </c>
      <c r="D29" s="45" t="s">
        <v>215</v>
      </c>
      <c r="E29" s="42" t="s">
        <v>216</v>
      </c>
    </row>
    <row r="30" customFormat="false" ht="15" hidden="false" customHeight="false" outlineLevel="0" collapsed="false">
      <c r="A30" s="44" t="n">
        <v>0.03</v>
      </c>
      <c r="B30" s="42" t="s">
        <v>138</v>
      </c>
      <c r="C30" s="42" t="s">
        <v>217</v>
      </c>
      <c r="D30" s="42" t="s">
        <v>217</v>
      </c>
      <c r="E30" s="42" t="s">
        <v>218</v>
      </c>
    </row>
    <row r="31" customFormat="false" ht="15" hidden="false" customHeight="false" outlineLevel="0" collapsed="false">
      <c r="A31" s="44" t="n">
        <v>0.05</v>
      </c>
      <c r="B31" s="42" t="s">
        <v>219</v>
      </c>
      <c r="C31" s="42" t="s">
        <v>220</v>
      </c>
      <c r="D31" s="45" t="s">
        <v>221</v>
      </c>
      <c r="E31" s="42" t="s">
        <v>222</v>
      </c>
    </row>
    <row r="32" customFormat="false" ht="15" hidden="false" customHeight="false" outlineLevel="0" collapsed="false">
      <c r="A32" s="44" t="n">
        <v>0.08</v>
      </c>
      <c r="B32" s="42" t="s">
        <v>223</v>
      </c>
      <c r="C32" s="42" t="s">
        <v>224</v>
      </c>
      <c r="D32" s="45" t="s">
        <v>225</v>
      </c>
      <c r="E32" s="42" t="s">
        <v>226</v>
      </c>
    </row>
    <row r="34" customFormat="false" ht="14.15" hidden="false" customHeight="false" outlineLevel="0" collapsed="false">
      <c r="A34" s="2" t="s">
        <v>227</v>
      </c>
      <c r="B34" s="2"/>
      <c r="C34" s="2"/>
      <c r="D34" s="2"/>
      <c r="E34" s="2"/>
      <c r="F34" s="2"/>
    </row>
    <row r="37" customFormat="false" ht="15" hidden="false" customHeight="false" outlineLevel="0" collapsed="false">
      <c r="A37" s="47" t="s">
        <v>228</v>
      </c>
    </row>
    <row r="39" customFormat="false" ht="15" hidden="false" customHeight="false" outlineLevel="0" collapsed="false">
      <c r="A39" s="12" t="s">
        <v>229</v>
      </c>
      <c r="B39" s="12" t="s">
        <v>230</v>
      </c>
      <c r="C39" s="12" t="s">
        <v>231</v>
      </c>
      <c r="D39" s="13" t="s">
        <v>232</v>
      </c>
      <c r="E39" s="12" t="s">
        <v>208</v>
      </c>
    </row>
    <row r="40" customFormat="false" ht="15" hidden="false" customHeight="false" outlineLevel="0" collapsed="false">
      <c r="A40" s="43" t="s">
        <v>233</v>
      </c>
      <c r="B40" s="42" t="n">
        <v>18</v>
      </c>
      <c r="C40" s="48" t="n">
        <v>99000</v>
      </c>
      <c r="D40" s="23" t="n">
        <f aca="false">B40*C40</f>
        <v>1782000</v>
      </c>
      <c r="E40" s="42" t="s">
        <v>234</v>
      </c>
    </row>
    <row r="41" customFormat="false" ht="15" hidden="false" customHeight="false" outlineLevel="0" collapsed="false">
      <c r="A41" s="43" t="s">
        <v>235</v>
      </c>
      <c r="B41" s="42" t="n">
        <v>24</v>
      </c>
      <c r="C41" s="48" t="n">
        <v>299000</v>
      </c>
      <c r="D41" s="23" t="n">
        <f aca="false">B41*C41</f>
        <v>7176000</v>
      </c>
      <c r="E41" s="42" t="s">
        <v>236</v>
      </c>
    </row>
    <row r="42" customFormat="false" ht="15" hidden="false" customHeight="false" outlineLevel="0" collapsed="false">
      <c r="A42" s="43" t="s">
        <v>237</v>
      </c>
      <c r="B42" s="42" t="n">
        <v>30</v>
      </c>
      <c r="C42" s="48" t="n">
        <v>500000</v>
      </c>
      <c r="D42" s="23" t="n">
        <f aca="false">B42*C42</f>
        <v>15000000</v>
      </c>
      <c r="E42" s="42" t="s">
        <v>238</v>
      </c>
    </row>
    <row r="43" customFormat="false" ht="15" hidden="false" customHeight="false" outlineLevel="0" collapsed="false">
      <c r="A43" s="43" t="s">
        <v>88</v>
      </c>
      <c r="B43" s="42" t="n">
        <v>12</v>
      </c>
      <c r="C43" s="48" t="n">
        <v>4900</v>
      </c>
      <c r="D43" s="23" t="n">
        <f aca="false">B43*C43</f>
        <v>58800</v>
      </c>
      <c r="E43" s="42" t="s">
        <v>239</v>
      </c>
    </row>
  </sheetData>
  <mergeCells count="4">
    <mergeCell ref="A1:F1"/>
    <mergeCell ref="A12:F12"/>
    <mergeCell ref="A23:F23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2026-05-13T01:27:39Z</dcterms:created>
  <dc:creator>openpyxl</dc:creator>
  <dc:description/>
  <dc:language>en-US</dc:language>
  <cp:lastModifiedBy/>
  <dcterms:modified xsi:type="dcterms:W3CDTF">2026-05-13T01:27:39Z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